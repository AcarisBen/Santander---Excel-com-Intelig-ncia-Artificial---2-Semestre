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d28f28d4371bd1a/Documentos/"/>
    </mc:Choice>
  </mc:AlternateContent>
  <xr:revisionPtr revIDLastSave="1" documentId="8_{F618F4A6-43F5-438F-B21A-B181CC62CAD4}" xr6:coauthVersionLast="47" xr6:coauthVersionMax="47" xr10:uidLastSave="{A1822202-8ED4-46E0-95C8-51A8C08088E6}"/>
  <bookViews>
    <workbookView xWindow="-120" yWindow="-120" windowWidth="29040" windowHeight="15720" activeTab="4" xr2:uid="{545EB46F-F81B-4F9B-A5C2-64B7F383663F}"/>
  </bookViews>
  <sheets>
    <sheet name="Aula 1" sheetId="1" r:id="rId1"/>
    <sheet name="Aula 2" sheetId="2" r:id="rId2"/>
    <sheet name="Aula 3" sheetId="3" r:id="rId3"/>
    <sheet name="Aula 4" sheetId="4" r:id="rId4"/>
    <sheet name="Projeto " sheetId="5" r:id="rId5"/>
  </sheets>
  <externalReferences>
    <externalReference r:id="rId6"/>
  </externalReferences>
  <definedNames>
    <definedName name="Anos">'Projeto '!$D$10</definedName>
    <definedName name="Aporte">'Projeto '!$D$9</definedName>
    <definedName name="Patrimonio">'Projeto '!$D$12</definedName>
    <definedName name="Rendimento_Carteira">'Projeto '!$D$5</definedName>
    <definedName name="Rendimento_Mensal">'Projeto '!$D$11</definedName>
    <definedName name="Salario">'Projeto '!$D$4</definedName>
    <definedName name="SegmentaçãodeDados_AÇÃO">#N/A</definedName>
    <definedName name="Sugestão_Investimento">'Projeto '!$D$6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7"/>
      </x15:slicerCaches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6" i="5" l="1"/>
  <c r="C23" i="5"/>
  <c r="D12" i="5"/>
  <c r="C20" i="5"/>
  <c r="D20" i="5" s="1"/>
  <c r="D6" i="5"/>
  <c r="C26" i="5"/>
  <c r="E27" i="5"/>
  <c r="C28" i="5" s="1"/>
  <c r="E28" i="5"/>
  <c r="C29" i="5" s="1"/>
  <c r="E29" i="5"/>
  <c r="C30" i="5" s="1"/>
  <c r="E30" i="5"/>
  <c r="C31" i="5" s="1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26" i="5"/>
  <c r="C27" i="5" s="1"/>
  <c r="D13" i="5"/>
  <c r="C17" i="5"/>
  <c r="D17" i="5" s="1"/>
  <c r="C18" i="5"/>
  <c r="D18" i="5" s="1"/>
  <c r="C19" i="5"/>
  <c r="D19" i="5" s="1"/>
  <c r="C16" i="5"/>
  <c r="D16" i="5" s="1"/>
  <c r="C8" i="4"/>
  <c r="H8" i="4"/>
  <c r="H33" i="4" s="1"/>
  <c r="L8" i="4"/>
  <c r="L83" i="4" s="1"/>
  <c r="C9" i="4"/>
  <c r="H9" i="4"/>
  <c r="L9" i="4"/>
  <c r="C10" i="4"/>
  <c r="H10" i="4"/>
  <c r="L10" i="4"/>
  <c r="C11" i="4"/>
  <c r="H11" i="4"/>
  <c r="L11" i="4"/>
  <c r="C12" i="4"/>
  <c r="H12" i="4"/>
  <c r="L12" i="4"/>
  <c r="C13" i="4"/>
  <c r="H13" i="4"/>
  <c r="L13" i="4"/>
  <c r="H14" i="4"/>
  <c r="L14" i="4"/>
  <c r="H15" i="4"/>
  <c r="L15" i="4"/>
  <c r="H16" i="4"/>
  <c r="L16" i="4"/>
  <c r="H17" i="4"/>
  <c r="L17" i="4"/>
  <c r="H18" i="4"/>
  <c r="L18" i="4"/>
  <c r="H19" i="4"/>
  <c r="L19" i="4"/>
  <c r="H20" i="4"/>
  <c r="L20" i="4"/>
  <c r="H21" i="4"/>
  <c r="L21" i="4"/>
  <c r="H22" i="4"/>
  <c r="L22" i="4"/>
  <c r="H23" i="4"/>
  <c r="L23" i="4"/>
  <c r="H24" i="4"/>
  <c r="L24" i="4"/>
  <c r="H25" i="4"/>
  <c r="L25" i="4"/>
  <c r="H26" i="4"/>
  <c r="L26" i="4"/>
  <c r="H27" i="4"/>
  <c r="L27" i="4"/>
  <c r="H28" i="4"/>
  <c r="L28" i="4"/>
  <c r="H29" i="4"/>
  <c r="L29" i="4"/>
  <c r="H30" i="4"/>
  <c r="L30" i="4"/>
  <c r="H31" i="4"/>
  <c r="L31" i="4"/>
  <c r="H32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F39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H8" i="1"/>
  <c r="H7" i="1"/>
  <c r="D27" i="5" l="1"/>
  <c r="D31" i="5"/>
  <c r="D30" i="5"/>
  <c r="D28" i="5"/>
  <c r="D29" i="5"/>
  <c r="D32" i="5" l="1"/>
</calcChain>
</file>

<file path=xl/sharedStrings.xml><?xml version="1.0" encoding="utf-8"?>
<sst xmlns="http://schemas.openxmlformats.org/spreadsheetml/2006/main" count="344" uniqueCount="129">
  <si>
    <t>EM PROGRESSO</t>
  </si>
  <si>
    <t>FEITO</t>
  </si>
  <si>
    <t>INICIAR</t>
  </si>
  <si>
    <t>A</t>
  </si>
  <si>
    <t>B</t>
  </si>
  <si>
    <t>C</t>
  </si>
  <si>
    <t>D</t>
  </si>
  <si>
    <t>E</t>
  </si>
  <si>
    <t>Atividades</t>
  </si>
  <si>
    <t>Atividades Concluidas</t>
  </si>
  <si>
    <t>DATA OPERAÇÃO</t>
  </si>
  <si>
    <t>QUANTIDADE COMPRADA</t>
  </si>
  <si>
    <t>VALOR PAGO POR AÇÃO</t>
  </si>
  <si>
    <t>AÇÃO</t>
  </si>
  <si>
    <t>AAPL34</t>
  </si>
  <si>
    <t>ATVI34</t>
  </si>
  <si>
    <t>FATOS</t>
  </si>
  <si>
    <t>DIMENSIONAL</t>
  </si>
  <si>
    <t>NVDC34</t>
  </si>
  <si>
    <t>TOTAL</t>
  </si>
  <si>
    <t>CALCULADA</t>
  </si>
  <si>
    <t>ID OPERAÇÃO</t>
  </si>
  <si>
    <t>op-01</t>
  </si>
  <si>
    <t>op-02</t>
  </si>
  <si>
    <t>op-03</t>
  </si>
  <si>
    <t>op-04</t>
  </si>
  <si>
    <t>op-05</t>
  </si>
  <si>
    <t>op-06</t>
  </si>
  <si>
    <t>op-07</t>
  </si>
  <si>
    <t>op-08</t>
  </si>
  <si>
    <t>op-09</t>
  </si>
  <si>
    <t>op-10</t>
  </si>
  <si>
    <t>op-11</t>
  </si>
  <si>
    <t>op-12</t>
  </si>
  <si>
    <t>op-13</t>
  </si>
  <si>
    <t>op-14</t>
  </si>
  <si>
    <t>op-15</t>
  </si>
  <si>
    <t>op-16</t>
  </si>
  <si>
    <t>op-17</t>
  </si>
  <si>
    <t>op-18</t>
  </si>
  <si>
    <t>op-19</t>
  </si>
  <si>
    <t>op-20</t>
  </si>
  <si>
    <t>op-21</t>
  </si>
  <si>
    <t>op-22</t>
  </si>
  <si>
    <t>op-23</t>
  </si>
  <si>
    <t>op-24</t>
  </si>
  <si>
    <t>op-25</t>
  </si>
  <si>
    <t>op-26</t>
  </si>
  <si>
    <t>op-27</t>
  </si>
  <si>
    <r>
      <t xml:space="preserve">Na tabela Dinâmica, a área de </t>
    </r>
    <r>
      <rPr>
        <b/>
        <sz val="11"/>
        <color rgb="FF0070C0"/>
        <rFont val="Calibri"/>
        <family val="2"/>
        <scheme val="minor"/>
      </rPr>
      <t>LINHAS</t>
    </r>
    <r>
      <rPr>
        <sz val="11"/>
        <color theme="1"/>
        <rFont val="Calibri"/>
        <family val="2"/>
        <scheme val="minor"/>
      </rPr>
      <t xml:space="preserve"> sempre é </t>
    </r>
    <r>
      <rPr>
        <b/>
        <sz val="11"/>
        <color rgb="FF0070C0"/>
        <rFont val="Calibri"/>
        <family val="2"/>
        <scheme val="minor"/>
      </rPr>
      <t>coluna Dimensional</t>
    </r>
    <r>
      <rPr>
        <sz val="11"/>
        <color theme="1"/>
        <rFont val="Calibri"/>
        <family val="2"/>
        <scheme val="minor"/>
      </rPr>
      <t xml:space="preserve"> e em </t>
    </r>
    <r>
      <rPr>
        <b/>
        <sz val="11"/>
        <color theme="9" tint="-0.249977111117893"/>
        <rFont val="Calibri"/>
        <family val="2"/>
        <scheme val="minor"/>
      </rPr>
      <t>VALORES</t>
    </r>
    <r>
      <rPr>
        <sz val="11"/>
        <color theme="1"/>
        <rFont val="Calibri"/>
        <family val="2"/>
        <scheme val="minor"/>
      </rPr>
      <t xml:space="preserve"> é a </t>
    </r>
    <r>
      <rPr>
        <b/>
        <sz val="11"/>
        <color theme="9" tint="-0.249977111117893"/>
        <rFont val="Calibri"/>
        <family val="2"/>
        <scheme val="minor"/>
      </rPr>
      <t>coluna de Fatos</t>
    </r>
  </si>
  <si>
    <t>Filtros e colunas podem ter campos de dimensão como de Fato</t>
  </si>
  <si>
    <t>Linhas e Valores são especialistas para campo dimensão e campo fato respectivamente.</t>
  </si>
  <si>
    <t xml:space="preserve">Base de Normalização </t>
  </si>
  <si>
    <t>Mostra como era no dado original e mostra como ficou após a higienização dos nomes. Também chamado de NORMALIZE</t>
  </si>
  <si>
    <t>Autônomo</t>
  </si>
  <si>
    <t>Categoria</t>
  </si>
  <si>
    <t xml:space="preserve">Pessoas que pagam acima de </t>
  </si>
  <si>
    <t>CLT</t>
  </si>
  <si>
    <t>Empresário</t>
  </si>
  <si>
    <t>EmpresÃ¡rio</t>
  </si>
  <si>
    <t>AutÃ´nomo</t>
  </si>
  <si>
    <t>Percentual_Imposto</t>
  </si>
  <si>
    <t>Categoria_Profissional</t>
  </si>
  <si>
    <t>Renda_Anual</t>
  </si>
  <si>
    <t>ID</t>
  </si>
  <si>
    <t>Para</t>
  </si>
  <si>
    <t>De</t>
  </si>
  <si>
    <t xml:space="preserve">Planilha Base de Normalização </t>
  </si>
  <si>
    <t>Isento</t>
  </si>
  <si>
    <t>SP</t>
  </si>
  <si>
    <t>SC</t>
  </si>
  <si>
    <t>RS</t>
  </si>
  <si>
    <t>RJ</t>
  </si>
  <si>
    <t>PR</t>
  </si>
  <si>
    <t>PE</t>
  </si>
  <si>
    <t>PB</t>
  </si>
  <si>
    <t>MT</t>
  </si>
  <si>
    <t>MG</t>
  </si>
  <si>
    <t>GO</t>
  </si>
  <si>
    <t>ES</t>
  </si>
  <si>
    <t>Investidor</t>
  </si>
  <si>
    <t>DF</t>
  </si>
  <si>
    <t>CE</t>
  </si>
  <si>
    <t>Empregado CLT</t>
  </si>
  <si>
    <t>BA</t>
  </si>
  <si>
    <t>AM</t>
  </si>
  <si>
    <t>Aposentado</t>
  </si>
  <si>
    <t>Quantidade</t>
  </si>
  <si>
    <t>Faixa_Imposto</t>
  </si>
  <si>
    <t>Estado</t>
  </si>
  <si>
    <t>Fonte_de_Renda</t>
  </si>
  <si>
    <t>Faixa</t>
  </si>
  <si>
    <t>Quantidade de pessoas por faixa de impostos e tipo de fonte de renda</t>
  </si>
  <si>
    <t>Pessoas em cada faixa de impostos</t>
  </si>
  <si>
    <t>Por quantos anos ?</t>
  </si>
  <si>
    <t>Taxa de Rendimento mensal ?</t>
  </si>
  <si>
    <t>Patrimônio acumulado ?</t>
  </si>
  <si>
    <t>Dividendos Mensais ?</t>
  </si>
  <si>
    <t>Quanto investir por mês ?</t>
  </si>
  <si>
    <t>INVESTIMENTO MENSAL</t>
  </si>
  <si>
    <t>2 anos</t>
  </si>
  <si>
    <t>5 anos</t>
  </si>
  <si>
    <t>10 anos</t>
  </si>
  <si>
    <t>20 anos</t>
  </si>
  <si>
    <t>30 anos</t>
  </si>
  <si>
    <t>Salário</t>
  </si>
  <si>
    <t>Rendimento Carteira</t>
  </si>
  <si>
    <t>CONFIGURAÇÕES</t>
  </si>
  <si>
    <t>CENÁRIOS</t>
  </si>
  <si>
    <t>DIVIDENDOS</t>
  </si>
  <si>
    <t>Perfil</t>
  </si>
  <si>
    <t>VALOR A SER INVESTIDO POR MÊS</t>
  </si>
  <si>
    <t>TIPO DE FII</t>
  </si>
  <si>
    <t>PAPEL</t>
  </si>
  <si>
    <t>TIJOLO</t>
  </si>
  <si>
    <t>HÍBRIDOS</t>
  </si>
  <si>
    <t>FOF's</t>
  </si>
  <si>
    <t>HOTELARIAS</t>
  </si>
  <si>
    <t>DESENVOLVIMENTO</t>
  </si>
  <si>
    <t>Percentual Sugerido</t>
  </si>
  <si>
    <t>Valores</t>
  </si>
  <si>
    <t>Conservador</t>
  </si>
  <si>
    <t>PERFIL</t>
  </si>
  <si>
    <t>Moderado</t>
  </si>
  <si>
    <t>Agressivo</t>
  </si>
  <si>
    <t>CHAVE</t>
  </si>
  <si>
    <t>%</t>
  </si>
  <si>
    <t>Tabela de apoio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</si>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</sst>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b/>
      <sz val="14"/>
      <color theme="0"/>
      <name val="Segoe UI Historic"/>
      <family val="2"/>
    </font>
    <font>
      <b/>
      <sz val="20"/>
      <color theme="0"/>
      <name val="Segoe UI Historic"/>
      <family val="2"/>
    </font>
    <font>
      <b/>
      <sz val="11"/>
      <color theme="1"/>
      <name val="Segoe UI Semibold"/>
      <family val="2"/>
    </font>
    <font>
      <sz val="12"/>
      <color theme="1"/>
      <name val="Calibri"/>
      <family val="2"/>
      <scheme val="minor"/>
    </font>
    <font>
      <b/>
      <sz val="12"/>
      <color theme="1"/>
      <name val="Segoe UI Semibold"/>
      <family val="2"/>
    </font>
    <font>
      <sz val="12"/>
      <color theme="0"/>
      <name val="Calibri"/>
      <family val="2"/>
      <scheme val="minor"/>
    </font>
    <font>
      <sz val="11"/>
      <color theme="0"/>
      <name val="Segoe UI Semibold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99CC"/>
        <bgColor indexed="64"/>
      </patternFill>
    </fill>
  </fills>
  <borders count="17">
    <border>
      <left/>
      <right/>
      <top/>
      <bottom/>
      <diagonal/>
    </border>
    <border>
      <left style="medium">
        <color theme="9"/>
      </left>
      <right style="medium">
        <color theme="9"/>
      </right>
      <top style="medium">
        <color theme="9"/>
      </top>
      <bottom style="medium">
        <color theme="9"/>
      </bottom>
      <diagonal/>
    </border>
    <border>
      <left/>
      <right/>
      <top style="thin">
        <color theme="9"/>
      </top>
      <bottom/>
      <diagonal/>
    </border>
    <border>
      <left style="thick">
        <color theme="9" tint="-0.24994659260841701"/>
      </left>
      <right/>
      <top style="thick">
        <color theme="9" tint="-0.24994659260841701"/>
      </top>
      <bottom style="thin">
        <color theme="9"/>
      </bottom>
      <diagonal/>
    </border>
    <border>
      <left/>
      <right style="thick">
        <color theme="9" tint="-0.24994659260841701"/>
      </right>
      <top style="thick">
        <color theme="9" tint="-0.24994659260841701"/>
      </top>
      <bottom style="thin">
        <color theme="9"/>
      </bottom>
      <diagonal/>
    </border>
    <border>
      <left style="thick">
        <color theme="9" tint="-0.24994659260841701"/>
      </left>
      <right/>
      <top style="thin">
        <color theme="9"/>
      </top>
      <bottom/>
      <diagonal/>
    </border>
    <border>
      <left/>
      <right style="thick">
        <color theme="9" tint="-0.24994659260841701"/>
      </right>
      <top style="thin">
        <color theme="9"/>
      </top>
      <bottom/>
      <diagonal/>
    </border>
    <border>
      <left style="thick">
        <color theme="9" tint="-0.24994659260841701"/>
      </left>
      <right/>
      <top/>
      <bottom/>
      <diagonal/>
    </border>
    <border>
      <left/>
      <right style="thick">
        <color theme="9" tint="-0.24994659260841701"/>
      </right>
      <top/>
      <bottom/>
      <diagonal/>
    </border>
    <border>
      <left style="thick">
        <color theme="9" tint="-0.24994659260841701"/>
      </left>
      <right/>
      <top/>
      <bottom style="thick">
        <color theme="9" tint="-0.24994659260841701"/>
      </bottom>
      <diagonal/>
    </border>
    <border>
      <left/>
      <right style="thick">
        <color theme="9" tint="-0.24994659260841701"/>
      </right>
      <top/>
      <bottom style="thick">
        <color theme="9" tint="-0.24994659260841701"/>
      </bottom>
      <diagonal/>
    </border>
    <border>
      <left/>
      <right style="thick">
        <color theme="9"/>
      </right>
      <top style="thick">
        <color theme="9" tint="-0.24994659260841701"/>
      </top>
      <bottom style="thin">
        <color theme="9"/>
      </bottom>
      <diagonal/>
    </border>
    <border>
      <left/>
      <right/>
      <top/>
      <bottom style="thick">
        <color theme="9" tint="-0.24994659260841701"/>
      </bottom>
      <diagonal/>
    </border>
    <border>
      <left/>
      <right/>
      <top style="thick">
        <color theme="9" tint="-0.24994659260841701"/>
      </top>
      <bottom style="thin">
        <color theme="9"/>
      </bottom>
      <diagonal/>
    </border>
    <border>
      <left style="thick">
        <color theme="9" tint="-0.24994659260841701"/>
      </left>
      <right/>
      <top style="thick">
        <color theme="9" tint="-0.24994659260841701"/>
      </top>
      <bottom/>
      <diagonal/>
    </border>
    <border>
      <left/>
      <right/>
      <top style="thick">
        <color theme="9" tint="-0.24994659260841701"/>
      </top>
      <bottom/>
      <diagonal/>
    </border>
    <border>
      <left/>
      <right style="thick">
        <color theme="9" tint="-0.24994659260841701"/>
      </right>
      <top style="thick">
        <color theme="9" tint="-0.24994659260841701"/>
      </top>
      <bottom/>
      <diagonal/>
    </border>
  </borders>
  <cellStyleXfs count="5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5" borderId="0" applyNumberFormat="0" applyBorder="0" applyAlignment="0" applyProtection="0"/>
  </cellStyleXfs>
  <cellXfs count="87">
    <xf numFmtId="0" fontId="0" fillId="0" borderId="0" xfId="0"/>
    <xf numFmtId="0" fontId="0" fillId="2" borderId="0" xfId="0" applyFill="1"/>
    <xf numFmtId="164" fontId="0" fillId="0" borderId="0" xfId="0" applyNumberFormat="1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3" applyAlignment="1">
      <alignment horizontal="right"/>
    </xf>
    <xf numFmtId="0" fontId="6" fillId="0" borderId="0" xfId="3"/>
    <xf numFmtId="2" fontId="6" fillId="4" borderId="0" xfId="3" applyNumberFormat="1" applyFill="1"/>
    <xf numFmtId="164" fontId="0" fillId="0" borderId="0" xfId="0" applyNumberFormat="1" applyAlignment="1">
      <alignment horizontal="left" vertical="center"/>
    </xf>
    <xf numFmtId="0" fontId="1" fillId="3" borderId="0" xfId="0" applyFont="1" applyFill="1"/>
    <xf numFmtId="0" fontId="7" fillId="3" borderId="0" xfId="0" applyFont="1" applyFill="1"/>
    <xf numFmtId="10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0" fontId="0" fillId="0" borderId="0" xfId="0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0" fontId="7" fillId="5" borderId="0" xfId="4" applyAlignment="1">
      <alignment horizontal="center" vertical="center"/>
    </xf>
    <xf numFmtId="10" fontId="0" fillId="0" borderId="1" xfId="0" applyNumberFormat="1" applyBorder="1"/>
    <xf numFmtId="0" fontId="7" fillId="5" borderId="1" xfId="4" applyBorder="1" applyAlignment="1">
      <alignment horizontal="left" vertical="center"/>
    </xf>
    <xf numFmtId="0" fontId="11" fillId="0" borderId="0" xfId="0" applyFont="1"/>
    <xf numFmtId="0" fontId="0" fillId="7" borderId="0" xfId="0" applyFill="1"/>
    <xf numFmtId="0" fontId="11" fillId="7" borderId="0" xfId="0" applyFont="1" applyFill="1"/>
    <xf numFmtId="0" fontId="13" fillId="7" borderId="0" xfId="0" applyFont="1" applyFill="1"/>
    <xf numFmtId="0" fontId="10" fillId="7" borderId="0" xfId="0" applyFont="1" applyFill="1" applyBorder="1"/>
    <xf numFmtId="164" fontId="10" fillId="7" borderId="0" xfId="0" applyNumberFormat="1" applyFont="1" applyFill="1" applyBorder="1"/>
    <xf numFmtId="0" fontId="9" fillId="8" borderId="3" xfId="0" applyFont="1" applyFill="1" applyBorder="1" applyAlignment="1">
      <alignment horizontal="center" vertical="center"/>
    </xf>
    <xf numFmtId="0" fontId="9" fillId="8" borderId="13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9" fillId="8" borderId="11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indent="3"/>
    </xf>
    <xf numFmtId="164" fontId="12" fillId="2" borderId="2" xfId="0" applyNumberFormat="1" applyFont="1" applyFill="1" applyBorder="1"/>
    <xf numFmtId="164" fontId="12" fillId="2" borderId="0" xfId="0" applyNumberFormat="1" applyFont="1" applyFill="1" applyBorder="1"/>
    <xf numFmtId="0" fontId="12" fillId="2" borderId="9" xfId="0" applyFont="1" applyFill="1" applyBorder="1" applyAlignment="1">
      <alignment horizontal="left" indent="3"/>
    </xf>
    <xf numFmtId="164" fontId="12" fillId="2" borderId="12" xfId="0" applyNumberFormat="1" applyFont="1" applyFill="1" applyBorder="1"/>
    <xf numFmtId="0" fontId="12" fillId="2" borderId="5" xfId="0" applyFont="1" applyFill="1" applyBorder="1" applyAlignment="1">
      <alignment horizontal="left" indent="3"/>
    </xf>
    <xf numFmtId="164" fontId="12" fillId="2" borderId="2" xfId="0" applyNumberFormat="1" applyFont="1" applyFill="1" applyBorder="1" applyAlignment="1">
      <alignment horizontal="right" indent="8"/>
    </xf>
    <xf numFmtId="164" fontId="12" fillId="2" borderId="0" xfId="0" applyNumberFormat="1" applyFont="1" applyFill="1" applyBorder="1" applyAlignment="1">
      <alignment horizontal="right" indent="8"/>
    </xf>
    <xf numFmtId="164" fontId="12" fillId="2" borderId="12" xfId="0" applyNumberFormat="1" applyFont="1" applyFill="1" applyBorder="1" applyAlignment="1">
      <alignment horizontal="right" indent="8"/>
    </xf>
    <xf numFmtId="0" fontId="7" fillId="7" borderId="0" xfId="0" applyFont="1" applyFill="1"/>
    <xf numFmtId="9" fontId="14" fillId="7" borderId="0" xfId="2" applyFont="1" applyFill="1" applyBorder="1" applyAlignment="1">
      <alignment horizontal="center"/>
    </xf>
    <xf numFmtId="0" fontId="7" fillId="7" borderId="0" xfId="0" applyFont="1" applyFill="1" applyAlignment="1">
      <alignment horizontal="center" vertical="center"/>
    </xf>
    <xf numFmtId="0" fontId="0" fillId="7" borderId="0" xfId="0" applyFill="1" applyAlignment="1">
      <alignment vertical="center"/>
    </xf>
    <xf numFmtId="0" fontId="11" fillId="7" borderId="0" xfId="0" applyFont="1" applyFill="1" applyAlignment="1">
      <alignment vertical="center"/>
    </xf>
    <xf numFmtId="164" fontId="12" fillId="2" borderId="8" xfId="0" applyNumberFormat="1" applyFont="1" applyFill="1" applyBorder="1" applyAlignment="1">
      <alignment horizontal="right" vertical="center" indent="3"/>
    </xf>
    <xf numFmtId="164" fontId="12" fillId="2" borderId="10" xfId="0" applyNumberFormat="1" applyFont="1" applyFill="1" applyBorder="1" applyAlignment="1">
      <alignment horizontal="right" vertical="center" indent="3"/>
    </xf>
    <xf numFmtId="164" fontId="12" fillId="2" borderId="8" xfId="2" applyNumberFormat="1" applyFont="1" applyFill="1" applyBorder="1" applyAlignment="1">
      <alignment horizontal="right" vertical="center" indent="3"/>
    </xf>
    <xf numFmtId="10" fontId="12" fillId="2" borderId="8" xfId="2" applyNumberFormat="1" applyFont="1" applyFill="1" applyBorder="1" applyAlignment="1">
      <alignment horizontal="right" vertical="center" indent="3"/>
    </xf>
    <xf numFmtId="164" fontId="12" fillId="2" borderId="10" xfId="1" applyNumberFormat="1" applyFont="1" applyFill="1" applyBorder="1" applyAlignment="1">
      <alignment horizontal="right" vertical="center" indent="3"/>
    </xf>
    <xf numFmtId="164" fontId="12" fillId="2" borderId="6" xfId="0" applyNumberFormat="1" applyFont="1" applyFill="1" applyBorder="1" applyAlignment="1">
      <alignment horizontal="right" vertical="center" indent="3"/>
    </xf>
    <xf numFmtId="0" fontId="12" fillId="2" borderId="8" xfId="0" applyFont="1" applyFill="1" applyBorder="1" applyAlignment="1">
      <alignment horizontal="right" vertical="center" indent="3"/>
    </xf>
    <xf numFmtId="0" fontId="0" fillId="8" borderId="9" xfId="0" applyFill="1" applyBorder="1"/>
    <xf numFmtId="0" fontId="0" fillId="8" borderId="12" xfId="0" applyFill="1" applyBorder="1"/>
    <xf numFmtId="0" fontId="12" fillId="8" borderId="14" xfId="0" applyFont="1" applyFill="1" applyBorder="1"/>
    <xf numFmtId="0" fontId="12" fillId="8" borderId="15" xfId="0" applyFont="1" applyFill="1" applyBorder="1" applyAlignment="1">
      <alignment horizontal="center" vertical="center"/>
    </xf>
    <xf numFmtId="0" fontId="12" fillId="8" borderId="16" xfId="0" applyFont="1" applyFill="1" applyBorder="1" applyAlignment="1">
      <alignment horizontal="center" vertical="center"/>
    </xf>
    <xf numFmtId="0" fontId="12" fillId="2" borderId="9" xfId="0" applyFont="1" applyFill="1" applyBorder="1"/>
    <xf numFmtId="164" fontId="12" fillId="2" borderId="12" xfId="0" applyNumberFormat="1" applyFont="1" applyFill="1" applyBorder="1" applyAlignment="1">
      <alignment horizontal="center" vertical="center"/>
    </xf>
    <xf numFmtId="164" fontId="12" fillId="2" borderId="10" xfId="0" applyNumberFormat="1" applyFont="1" applyFill="1" applyBorder="1" applyAlignment="1">
      <alignment horizontal="center" vertical="center"/>
    </xf>
    <xf numFmtId="164" fontId="12" fillId="8" borderId="10" xfId="0" applyNumberFormat="1" applyFont="1" applyFill="1" applyBorder="1" applyAlignment="1">
      <alignment horizontal="right" vertical="center" indent="3"/>
    </xf>
    <xf numFmtId="164" fontId="12" fillId="8" borderId="16" xfId="0" applyNumberFormat="1" applyFont="1" applyFill="1" applyBorder="1" applyAlignment="1">
      <alignment horizontal="center" vertical="center"/>
    </xf>
    <xf numFmtId="0" fontId="12" fillId="8" borderId="14" xfId="0" applyFont="1" applyFill="1" applyBorder="1" applyAlignment="1">
      <alignment horizontal="left" vertical="center"/>
    </xf>
    <xf numFmtId="164" fontId="12" fillId="8" borderId="15" xfId="0" applyNumberFormat="1" applyFont="1" applyFill="1" applyBorder="1" applyAlignment="1">
      <alignment horizontal="center" vertical="center"/>
    </xf>
    <xf numFmtId="0" fontId="12" fillId="6" borderId="7" xfId="0" applyFont="1" applyFill="1" applyBorder="1"/>
    <xf numFmtId="9" fontId="12" fillId="6" borderId="0" xfId="2" applyFont="1" applyFill="1" applyBorder="1" applyAlignment="1">
      <alignment horizontal="center"/>
    </xf>
    <xf numFmtId="164" fontId="12" fillId="6" borderId="8" xfId="0" applyNumberFormat="1" applyFont="1" applyFill="1" applyBorder="1" applyAlignment="1">
      <alignment horizontal="right" vertical="center" indent="3"/>
    </xf>
    <xf numFmtId="0" fontId="12" fillId="9" borderId="7" xfId="0" applyFont="1" applyFill="1" applyBorder="1"/>
    <xf numFmtId="9" fontId="12" fillId="9" borderId="0" xfId="2" applyFont="1" applyFill="1" applyBorder="1" applyAlignment="1">
      <alignment horizontal="center"/>
    </xf>
    <xf numFmtId="164" fontId="12" fillId="9" borderId="8" xfId="0" applyNumberFormat="1" applyFont="1" applyFill="1" applyBorder="1" applyAlignment="1">
      <alignment horizontal="right" vertical="center" indent="3"/>
    </xf>
    <xf numFmtId="0" fontId="12" fillId="10" borderId="7" xfId="0" applyFont="1" applyFill="1" applyBorder="1"/>
    <xf numFmtId="9" fontId="12" fillId="10" borderId="0" xfId="2" applyFont="1" applyFill="1" applyBorder="1" applyAlignment="1">
      <alignment horizontal="center"/>
    </xf>
    <xf numFmtId="164" fontId="12" fillId="10" borderId="8" xfId="0" applyNumberFormat="1" applyFont="1" applyFill="1" applyBorder="1" applyAlignment="1">
      <alignment horizontal="right" vertical="center" indent="3"/>
    </xf>
    <xf numFmtId="0" fontId="12" fillId="11" borderId="7" xfId="0" applyFont="1" applyFill="1" applyBorder="1"/>
    <xf numFmtId="9" fontId="12" fillId="11" borderId="0" xfId="2" applyFont="1" applyFill="1" applyBorder="1" applyAlignment="1">
      <alignment horizontal="center"/>
    </xf>
    <xf numFmtId="164" fontId="12" fillId="11" borderId="8" xfId="0" applyNumberFormat="1" applyFont="1" applyFill="1" applyBorder="1" applyAlignment="1">
      <alignment horizontal="right" vertical="center" indent="3"/>
    </xf>
    <xf numFmtId="0" fontId="12" fillId="12" borderId="7" xfId="0" applyFont="1" applyFill="1" applyBorder="1"/>
    <xf numFmtId="9" fontId="12" fillId="12" borderId="0" xfId="2" applyFont="1" applyFill="1" applyBorder="1" applyAlignment="1">
      <alignment horizontal="center"/>
    </xf>
    <xf numFmtId="164" fontId="12" fillId="12" borderId="8" xfId="0" applyNumberFormat="1" applyFont="1" applyFill="1" applyBorder="1" applyAlignment="1">
      <alignment horizontal="right" vertical="center" indent="3"/>
    </xf>
    <xf numFmtId="0" fontId="12" fillId="13" borderId="7" xfId="0" applyFont="1" applyFill="1" applyBorder="1"/>
    <xf numFmtId="9" fontId="12" fillId="13" borderId="0" xfId="2" applyFont="1" applyFill="1" applyBorder="1" applyAlignment="1">
      <alignment horizontal="center"/>
    </xf>
    <xf numFmtId="164" fontId="12" fillId="13" borderId="8" xfId="0" applyNumberFormat="1" applyFont="1" applyFill="1" applyBorder="1" applyAlignment="1">
      <alignment horizontal="right" vertical="center" indent="3"/>
    </xf>
  </cellXfs>
  <cellStyles count="5">
    <cellStyle name="Ênfase6" xfId="4" builtinId="49"/>
    <cellStyle name="Moeda" xfId="1" builtinId="4"/>
    <cellStyle name="Normal" xfId="0" builtinId="0"/>
    <cellStyle name="Porcentagem" xfId="2" builtinId="5"/>
    <cellStyle name="Título" xfId="3" builtinId="15"/>
  </cellStyles>
  <dxfs count="16"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5700"/>
      </font>
      <fill>
        <patternFill>
          <bgColor theme="9" tint="0.59996337778862885"/>
        </patternFill>
      </fill>
    </dxf>
    <dxf>
      <fill>
        <patternFill>
          <bgColor rgb="FF00B050"/>
        </patternFill>
      </fill>
    </dxf>
    <dxf>
      <fill>
        <patternFill>
          <bgColor theme="7" tint="0.39994506668294322"/>
        </patternFill>
      </fill>
    </dxf>
    <dxf>
      <fill>
        <patternFill>
          <bgColor rgb="FFC00000"/>
        </patternFill>
      </fill>
    </dxf>
    <dxf>
      <numFmt numFmtId="164" formatCode="&quot;R$&quot;\ #,##0.00"/>
    </dxf>
    <dxf>
      <numFmt numFmtId="164" formatCode="&quot;R$&quot;\ #,##0.0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099CC"/>
      <color rgb="FF66CCFF"/>
      <color rgb="FFF494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122703412073491E-2"/>
          <c:y val="0.19949074074074077"/>
          <c:w val="0.87232174103237092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884-4892-9A82-E0595D239A2F}"/>
              </c:ext>
            </c:extLst>
          </c:dPt>
          <c:val>
            <c:numRef>
              <c:f>'Aula 1'!$H$7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84-4892-9A82-E0595D239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0393136"/>
        <c:axId val="530378736"/>
      </c:barChart>
      <c:barChart>
        <c:barDir val="col"/>
        <c:grouping val="clustered"/>
        <c:varyColors val="0"/>
        <c:ser>
          <c:idx val="1"/>
          <c:order val="1"/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'Aula 1'!$H$8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84-4892-9A82-E0595D239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0425776"/>
        <c:axId val="530425296"/>
      </c:barChart>
      <c:catAx>
        <c:axId val="5303931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30378736"/>
        <c:crosses val="autoZero"/>
        <c:auto val="1"/>
        <c:lblAlgn val="ctr"/>
        <c:lblOffset val="100"/>
        <c:noMultiLvlLbl val="0"/>
      </c:catAx>
      <c:valAx>
        <c:axId val="5303787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30393136"/>
        <c:crosses val="autoZero"/>
        <c:crossBetween val="between"/>
      </c:valAx>
      <c:valAx>
        <c:axId val="53042529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530425776"/>
        <c:crosses val="max"/>
        <c:crossBetween val="between"/>
      </c:valAx>
      <c:catAx>
        <c:axId val="530425776"/>
        <c:scaling>
          <c:orientation val="minMax"/>
        </c:scaling>
        <c:delete val="1"/>
        <c:axPos val="b"/>
        <c:majorTickMark val="out"/>
        <c:minorTickMark val="none"/>
        <c:tickLblPos val="nextTo"/>
        <c:crossAx val="530425296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FF7-47B9-9B5E-973C39EDF70F}"/>
              </c:ext>
            </c:extLst>
          </c:dPt>
          <c:dPt>
            <c:idx val="1"/>
            <c:bubble3D val="0"/>
            <c:spPr>
              <a:solidFill>
                <a:srgbClr val="0099CC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FF7-47B9-9B5E-973C39EDF70F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F7-47B9-9B5E-973C39EDF70F}"/>
              </c:ext>
            </c:extLst>
          </c:dPt>
          <c:dPt>
            <c:idx val="3"/>
            <c:bubble3D val="0"/>
            <c:spPr>
              <a:solidFill>
                <a:srgbClr val="C00000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FF7-47B9-9B5E-973C39EDF70F}"/>
              </c:ext>
            </c:extLst>
          </c:dPt>
          <c:dPt>
            <c:idx val="4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FF7-47B9-9B5E-973C39EDF70F}"/>
              </c:ext>
            </c:extLst>
          </c:dPt>
          <c:dPt>
            <c:idx val="5"/>
            <c:bubble3D val="0"/>
            <c:spPr>
              <a:solidFill>
                <a:schemeClr val="accent1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6FF7-47B9-9B5E-973C39EDF70F}"/>
              </c:ext>
            </c:extLst>
          </c:dPt>
          <c:cat>
            <c:strRef>
              <c:f>'Projeto '!$B$26:$B$31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FOF's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'Projeto '!$C$26:$C$31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F7-47B9-9B5E-973C39EDF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8575" cap="flat" cmpd="sng" algn="ctr">
      <a:solidFill>
        <a:schemeClr val="accent6">
          <a:lumMod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495301</xdr:colOff>
      <xdr:row>3</xdr:row>
      <xdr:rowOff>38100</xdr:rowOff>
    </xdr:from>
    <xdr:to>
      <xdr:col>5</xdr:col>
      <xdr:colOff>190501</xdr:colOff>
      <xdr:row>12</xdr:row>
      <xdr:rowOff>123826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7D929BA-0D0B-7126-B354-9E3491F6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41</xdr:row>
      <xdr:rowOff>142875</xdr:rowOff>
    </xdr:from>
    <xdr:to>
      <xdr:col>6</xdr:col>
      <xdr:colOff>601170</xdr:colOff>
      <xdr:row>72</xdr:row>
      <xdr:rowOff>105594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71921BA9-CE30-CE84-FD7C-FD159A517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7953375"/>
          <a:ext cx="7849695" cy="58682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547920</xdr:colOff>
      <xdr:row>9</xdr:row>
      <xdr:rowOff>151038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708C135-1240-CE00-280C-D8094FADE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272820" cy="1865538"/>
        </a:xfrm>
        <a:prstGeom prst="rect">
          <a:avLst/>
        </a:prstGeom>
      </xdr:spPr>
    </xdr:pic>
    <xdr:clientData/>
  </xdr:twoCellAnchor>
  <xdr:twoCellAnchor editAs="absolute">
    <xdr:from>
      <xdr:col>6</xdr:col>
      <xdr:colOff>323850</xdr:colOff>
      <xdr:row>24</xdr:row>
      <xdr:rowOff>142875</xdr:rowOff>
    </xdr:from>
    <xdr:to>
      <xdr:col>9</xdr:col>
      <xdr:colOff>9525</xdr:colOff>
      <xdr:row>38</xdr:row>
      <xdr:rowOff>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AÇÃO">
              <a:extLst>
                <a:ext uri="{FF2B5EF4-FFF2-40B4-BE49-F238E27FC236}">
                  <a16:creationId xmlns:a16="http://schemas.microsoft.com/office/drawing/2014/main" id="{211936A8-2285-8401-4201-5180852F10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ÇÃ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00" y="47148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>
    <xdr:from>
      <xdr:col>3</xdr:col>
      <xdr:colOff>1495425</xdr:colOff>
      <xdr:row>68</xdr:row>
      <xdr:rowOff>76199</xdr:rowOff>
    </xdr:from>
    <xdr:to>
      <xdr:col>4</xdr:col>
      <xdr:colOff>1219200</xdr:colOff>
      <xdr:row>72</xdr:row>
      <xdr:rowOff>123824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6AE72EF3-A93C-B3C2-2913-8B90DCF2CE5F}"/>
            </a:ext>
          </a:extLst>
        </xdr:cNvPr>
        <xdr:cNvSpPr/>
      </xdr:nvSpPr>
      <xdr:spPr>
        <a:xfrm>
          <a:off x="4648200" y="13030199"/>
          <a:ext cx="1466850" cy="809625"/>
        </a:xfrm>
        <a:prstGeom prst="ellipse">
          <a:avLst/>
        </a:prstGeom>
        <a:noFill/>
        <a:ln w="76200"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4</xdr:col>
      <xdr:colOff>1257299</xdr:colOff>
      <xdr:row>68</xdr:row>
      <xdr:rowOff>66674</xdr:rowOff>
    </xdr:from>
    <xdr:to>
      <xdr:col>7</xdr:col>
      <xdr:colOff>38099</xdr:colOff>
      <xdr:row>73</xdr:row>
      <xdr:rowOff>57150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B9D14C9D-2ED8-E606-9D51-EDBDD24C8E68}"/>
            </a:ext>
          </a:extLst>
        </xdr:cNvPr>
        <xdr:cNvSpPr/>
      </xdr:nvSpPr>
      <xdr:spPr>
        <a:xfrm>
          <a:off x="6153149" y="13020674"/>
          <a:ext cx="1895475" cy="942976"/>
        </a:xfrm>
        <a:prstGeom prst="ellipse">
          <a:avLst/>
        </a:prstGeom>
        <a:noFill/>
        <a:ln w="7620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oneCellAnchor>
    <xdr:from>
      <xdr:col>5</xdr:col>
      <xdr:colOff>561975</xdr:colOff>
      <xdr:row>66</xdr:row>
      <xdr:rowOff>9525</xdr:rowOff>
    </xdr:from>
    <xdr:ext cx="858505" cy="468013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767DCF69-9A5C-360E-1FBF-85B7E2DA6F99}"/>
            </a:ext>
          </a:extLst>
        </xdr:cNvPr>
        <xdr:cNvSpPr txBox="1"/>
      </xdr:nvSpPr>
      <xdr:spPr>
        <a:xfrm>
          <a:off x="7096125" y="12582525"/>
          <a:ext cx="858505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2400" b="1" kern="1200">
              <a:solidFill>
                <a:schemeClr val="accent6">
                  <a:lumMod val="75000"/>
                </a:schemeClr>
              </a:solidFill>
            </a:rPr>
            <a:t>Fatos</a:t>
          </a:r>
        </a:p>
      </xdr:txBody>
    </xdr:sp>
    <xdr:clientData/>
  </xdr:oneCellAnchor>
  <xdr:oneCellAnchor>
    <xdr:from>
      <xdr:col>3</xdr:col>
      <xdr:colOff>1333500</xdr:colOff>
      <xdr:row>66</xdr:row>
      <xdr:rowOff>9525</xdr:rowOff>
    </xdr:from>
    <xdr:ext cx="1781321" cy="468013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B521E2C3-8A39-8237-8975-261972BC7E5E}"/>
            </a:ext>
          </a:extLst>
        </xdr:cNvPr>
        <xdr:cNvSpPr txBox="1"/>
      </xdr:nvSpPr>
      <xdr:spPr>
        <a:xfrm>
          <a:off x="4486275" y="12582525"/>
          <a:ext cx="178132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2400" b="1" kern="1200">
              <a:solidFill>
                <a:srgbClr val="0070C0"/>
              </a:solidFill>
            </a:rPr>
            <a:t>Dimensional</a:t>
          </a:r>
        </a:p>
      </xdr:txBody>
    </xdr:sp>
    <xdr:clientData/>
  </xdr:oneCellAnchor>
  <xdr:twoCellAnchor editAs="oneCell">
    <xdr:from>
      <xdr:col>0</xdr:col>
      <xdr:colOff>76200</xdr:colOff>
      <xdr:row>57</xdr:row>
      <xdr:rowOff>12864</xdr:rowOff>
    </xdr:from>
    <xdr:to>
      <xdr:col>3</xdr:col>
      <xdr:colOff>1352550</xdr:colOff>
      <xdr:row>69</xdr:row>
      <xdr:rowOff>124426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A75DE8C8-92C1-4CD4-7C9A-CA91AF5FA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" y="10871364"/>
          <a:ext cx="4429125" cy="23975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</xdr:row>
      <xdr:rowOff>28575</xdr:rowOff>
    </xdr:from>
    <xdr:to>
      <xdr:col>5</xdr:col>
      <xdr:colOff>629650</xdr:colOff>
      <xdr:row>96</xdr:row>
      <xdr:rowOff>95764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4F5DBFD3-E812-4558-1DC1-8299EEA3C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4697075"/>
          <a:ext cx="7163800" cy="368668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7663</xdr:colOff>
      <xdr:row>34</xdr:row>
      <xdr:rowOff>9525</xdr:rowOff>
    </xdr:from>
    <xdr:to>
      <xdr:col>4</xdr:col>
      <xdr:colOff>4646</xdr:colOff>
      <xdr:row>59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BB9E3F6-ACED-2691-E473-BCA46475F6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msung\Downloads\4a6bcab3-35b0-4abc-8a42-ec42f8d99d35.xlsx" TargetMode="External"/><Relationship Id="rId1" Type="http://schemas.openxmlformats.org/officeDocument/2006/relationships/externalLinkPath" Target="file:///C:\Users\Samsung\Downloads\4a6bcab3-35b0-4abc-8a42-ec42f8d99d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so2"/>
      <sheetName val="Report"/>
    </sheetNames>
    <sheetDataSet>
      <sheetData sheetId="0">
        <row r="1">
          <cell r="L1" t="str">
            <v>Estado</v>
          </cell>
          <cell r="M1" t="str">
            <v>Fonte_de_Renda</v>
          </cell>
          <cell r="Q1" t="str">
            <v>Faixa_Imposto</v>
          </cell>
        </row>
        <row r="2">
          <cell r="L2" t="str">
            <v>MT</v>
          </cell>
          <cell r="M2" t="str">
            <v>Aposentado</v>
          </cell>
          <cell r="Q2">
            <v>0.15</v>
          </cell>
        </row>
        <row r="3">
          <cell r="L3" t="str">
            <v>MT</v>
          </cell>
          <cell r="M3" t="str">
            <v>Empresário</v>
          </cell>
          <cell r="Q3">
            <v>7.4999999999999997E-2</v>
          </cell>
        </row>
        <row r="4">
          <cell r="L4" t="str">
            <v>ES</v>
          </cell>
          <cell r="M4" t="str">
            <v>Aposentado</v>
          </cell>
          <cell r="Q4">
            <v>0.22500000000000001</v>
          </cell>
        </row>
        <row r="5">
          <cell r="L5" t="str">
            <v>PE</v>
          </cell>
          <cell r="M5" t="str">
            <v>Empregado CLT</v>
          </cell>
          <cell r="Q5" t="str">
            <v>Isento</v>
          </cell>
        </row>
        <row r="6">
          <cell r="L6" t="str">
            <v>MT</v>
          </cell>
          <cell r="M6" t="str">
            <v>Autônomo</v>
          </cell>
          <cell r="Q6">
            <v>0.22500000000000001</v>
          </cell>
        </row>
        <row r="7">
          <cell r="L7" t="str">
            <v>PR</v>
          </cell>
          <cell r="M7" t="str">
            <v>Empresário</v>
          </cell>
          <cell r="Q7">
            <v>0.22500000000000001</v>
          </cell>
        </row>
        <row r="8">
          <cell r="L8" t="str">
            <v>PE</v>
          </cell>
          <cell r="M8" t="str">
            <v>Investidor</v>
          </cell>
          <cell r="Q8">
            <v>0.27500000000000002</v>
          </cell>
        </row>
        <row r="9">
          <cell r="L9" t="str">
            <v>PB</v>
          </cell>
          <cell r="M9" t="str">
            <v>Investidor</v>
          </cell>
          <cell r="Q9" t="str">
            <v>Isento</v>
          </cell>
        </row>
        <row r="10">
          <cell r="L10" t="str">
            <v>AM</v>
          </cell>
          <cell r="M10" t="str">
            <v>Autônomo</v>
          </cell>
          <cell r="Q10">
            <v>0.27500000000000002</v>
          </cell>
        </row>
        <row r="11">
          <cell r="L11" t="str">
            <v>PR</v>
          </cell>
          <cell r="M11" t="str">
            <v>Investidor</v>
          </cell>
          <cell r="Q11" t="str">
            <v>Isento</v>
          </cell>
        </row>
        <row r="12">
          <cell r="L12" t="str">
            <v>RS</v>
          </cell>
          <cell r="M12" t="str">
            <v>Autônomo</v>
          </cell>
          <cell r="Q12" t="str">
            <v>Isento</v>
          </cell>
        </row>
        <row r="13">
          <cell r="L13" t="str">
            <v>DF</v>
          </cell>
          <cell r="M13" t="str">
            <v>Autônomo</v>
          </cell>
          <cell r="Q13">
            <v>0.27500000000000002</v>
          </cell>
        </row>
        <row r="14">
          <cell r="L14" t="str">
            <v>CE</v>
          </cell>
          <cell r="M14" t="str">
            <v>Empresário</v>
          </cell>
          <cell r="Q14">
            <v>0.15</v>
          </cell>
        </row>
        <row r="15">
          <cell r="L15" t="str">
            <v>PB</v>
          </cell>
          <cell r="M15" t="str">
            <v>Empresário</v>
          </cell>
          <cell r="Q15">
            <v>0.22500000000000001</v>
          </cell>
        </row>
        <row r="16">
          <cell r="L16" t="str">
            <v>MT</v>
          </cell>
          <cell r="M16" t="str">
            <v>Autônomo</v>
          </cell>
          <cell r="Q16" t="str">
            <v>Isento</v>
          </cell>
        </row>
        <row r="17">
          <cell r="L17" t="str">
            <v>PE</v>
          </cell>
          <cell r="M17" t="str">
            <v>Autônomo</v>
          </cell>
          <cell r="Q17">
            <v>0.27500000000000002</v>
          </cell>
        </row>
        <row r="18">
          <cell r="L18" t="str">
            <v>RS</v>
          </cell>
          <cell r="M18" t="str">
            <v>Autônomo</v>
          </cell>
          <cell r="Q18" t="str">
            <v>Isento</v>
          </cell>
        </row>
        <row r="19">
          <cell r="L19" t="str">
            <v>BA</v>
          </cell>
          <cell r="M19" t="str">
            <v>Empregado CLT</v>
          </cell>
          <cell r="Q19" t="str">
            <v>Isento</v>
          </cell>
        </row>
        <row r="20">
          <cell r="L20" t="str">
            <v>SP</v>
          </cell>
          <cell r="M20" t="str">
            <v>Empresário</v>
          </cell>
          <cell r="Q20">
            <v>0.15</v>
          </cell>
        </row>
        <row r="21">
          <cell r="L21" t="str">
            <v>GO</v>
          </cell>
          <cell r="M21" t="str">
            <v>Empregado CLT</v>
          </cell>
          <cell r="Q21">
            <v>0.27500000000000002</v>
          </cell>
        </row>
        <row r="22">
          <cell r="L22" t="str">
            <v>PE</v>
          </cell>
          <cell r="M22" t="str">
            <v>Aposentado</v>
          </cell>
          <cell r="Q22">
            <v>0.22500000000000001</v>
          </cell>
        </row>
        <row r="23">
          <cell r="L23" t="str">
            <v>RJ</v>
          </cell>
          <cell r="M23" t="str">
            <v>Empresário</v>
          </cell>
          <cell r="Q23" t="str">
            <v>Isento</v>
          </cell>
        </row>
        <row r="24">
          <cell r="L24" t="str">
            <v>PB</v>
          </cell>
          <cell r="M24" t="str">
            <v>Empresário</v>
          </cell>
          <cell r="Q24">
            <v>0.27500000000000002</v>
          </cell>
        </row>
        <row r="25">
          <cell r="L25" t="str">
            <v>MT</v>
          </cell>
          <cell r="M25" t="str">
            <v>Aposentado</v>
          </cell>
          <cell r="Q25">
            <v>0.15</v>
          </cell>
        </row>
        <row r="26">
          <cell r="L26" t="str">
            <v>AM</v>
          </cell>
          <cell r="M26" t="str">
            <v>Empregado CLT</v>
          </cell>
          <cell r="Q26">
            <v>0.22500000000000001</v>
          </cell>
        </row>
        <row r="27">
          <cell r="L27" t="str">
            <v>PE</v>
          </cell>
          <cell r="M27" t="str">
            <v>Aposentado</v>
          </cell>
          <cell r="Q27" t="str">
            <v>Isento</v>
          </cell>
        </row>
        <row r="28">
          <cell r="L28" t="str">
            <v>SC</v>
          </cell>
          <cell r="M28" t="str">
            <v>Empregado CLT</v>
          </cell>
          <cell r="Q28">
            <v>0.22500000000000001</v>
          </cell>
        </row>
        <row r="29">
          <cell r="L29" t="str">
            <v>GO</v>
          </cell>
          <cell r="M29" t="str">
            <v>Empresário</v>
          </cell>
          <cell r="Q29" t="str">
            <v>Isento</v>
          </cell>
        </row>
        <row r="30">
          <cell r="L30" t="str">
            <v>RJ</v>
          </cell>
          <cell r="M30" t="str">
            <v>Investidor</v>
          </cell>
          <cell r="Q30">
            <v>7.4999999999999997E-2</v>
          </cell>
        </row>
        <row r="31">
          <cell r="L31" t="str">
            <v>MG</v>
          </cell>
          <cell r="M31" t="str">
            <v>Investidor</v>
          </cell>
          <cell r="Q31">
            <v>0.15</v>
          </cell>
        </row>
        <row r="32">
          <cell r="L32" t="str">
            <v>PE</v>
          </cell>
          <cell r="M32" t="str">
            <v>Empresário</v>
          </cell>
          <cell r="Q32">
            <v>7.4999999999999997E-2</v>
          </cell>
        </row>
        <row r="33">
          <cell r="L33" t="str">
            <v>SP</v>
          </cell>
          <cell r="M33" t="str">
            <v>Aposentado</v>
          </cell>
          <cell r="Q33">
            <v>0.22500000000000001</v>
          </cell>
        </row>
        <row r="34">
          <cell r="L34" t="str">
            <v>BA</v>
          </cell>
          <cell r="M34" t="str">
            <v>Empregado CLT</v>
          </cell>
          <cell r="Q34">
            <v>7.4999999999999997E-2</v>
          </cell>
        </row>
        <row r="35">
          <cell r="L35" t="str">
            <v>PE</v>
          </cell>
          <cell r="M35" t="str">
            <v>Empresário</v>
          </cell>
          <cell r="Q35">
            <v>0.27500000000000002</v>
          </cell>
        </row>
        <row r="36">
          <cell r="L36" t="str">
            <v>RJ</v>
          </cell>
          <cell r="M36" t="str">
            <v>Aposentado</v>
          </cell>
          <cell r="Q36">
            <v>0.15</v>
          </cell>
        </row>
        <row r="37">
          <cell r="L37" t="str">
            <v>BA</v>
          </cell>
          <cell r="M37" t="str">
            <v>Autônomo</v>
          </cell>
          <cell r="Q37">
            <v>0.15</v>
          </cell>
        </row>
        <row r="38">
          <cell r="L38" t="str">
            <v>CE</v>
          </cell>
          <cell r="M38" t="str">
            <v>Autônomo</v>
          </cell>
          <cell r="Q38">
            <v>7.4999999999999997E-2</v>
          </cell>
        </row>
        <row r="39">
          <cell r="L39" t="str">
            <v>MT</v>
          </cell>
          <cell r="M39" t="str">
            <v>Empresário</v>
          </cell>
          <cell r="Q39">
            <v>0.15</v>
          </cell>
        </row>
        <row r="40">
          <cell r="L40" t="str">
            <v>RS</v>
          </cell>
          <cell r="M40" t="str">
            <v>Autônomo</v>
          </cell>
          <cell r="Q40" t="str">
            <v>Isento</v>
          </cell>
        </row>
        <row r="41">
          <cell r="L41" t="str">
            <v>RJ</v>
          </cell>
          <cell r="M41" t="str">
            <v>Aposentado</v>
          </cell>
          <cell r="Q41">
            <v>7.4999999999999997E-2</v>
          </cell>
        </row>
        <row r="42">
          <cell r="L42" t="str">
            <v>BA</v>
          </cell>
          <cell r="M42" t="str">
            <v>Autônomo</v>
          </cell>
          <cell r="Q42">
            <v>7.4999999999999997E-2</v>
          </cell>
        </row>
        <row r="43">
          <cell r="L43" t="str">
            <v>AM</v>
          </cell>
          <cell r="M43" t="str">
            <v>Investidor</v>
          </cell>
          <cell r="Q43">
            <v>0.27500000000000002</v>
          </cell>
        </row>
        <row r="44">
          <cell r="L44" t="str">
            <v>SP</v>
          </cell>
          <cell r="M44" t="str">
            <v>Empregado CLT</v>
          </cell>
          <cell r="Q44">
            <v>7.4999999999999997E-2</v>
          </cell>
        </row>
        <row r="45">
          <cell r="L45" t="str">
            <v>SC</v>
          </cell>
          <cell r="M45" t="str">
            <v>Empresário</v>
          </cell>
          <cell r="Q45">
            <v>0.15</v>
          </cell>
        </row>
        <row r="46">
          <cell r="L46" t="str">
            <v>GO</v>
          </cell>
          <cell r="M46" t="str">
            <v>Investidor</v>
          </cell>
          <cell r="Q46" t="str">
            <v>Isento</v>
          </cell>
        </row>
        <row r="47">
          <cell r="L47" t="str">
            <v>BA</v>
          </cell>
          <cell r="M47" t="str">
            <v>Empresário</v>
          </cell>
          <cell r="Q47">
            <v>0.27500000000000002</v>
          </cell>
        </row>
        <row r="48">
          <cell r="L48" t="str">
            <v>ES</v>
          </cell>
          <cell r="M48" t="str">
            <v>Investidor</v>
          </cell>
          <cell r="Q48">
            <v>0.27500000000000002</v>
          </cell>
        </row>
        <row r="49">
          <cell r="L49" t="str">
            <v>MT</v>
          </cell>
          <cell r="M49" t="str">
            <v>Aposentado</v>
          </cell>
          <cell r="Q49">
            <v>0.22500000000000001</v>
          </cell>
        </row>
        <row r="50">
          <cell r="L50" t="str">
            <v>ES</v>
          </cell>
          <cell r="M50" t="str">
            <v>Autônomo</v>
          </cell>
          <cell r="Q50">
            <v>0.22500000000000001</v>
          </cell>
        </row>
        <row r="51">
          <cell r="L51" t="str">
            <v>RS</v>
          </cell>
          <cell r="M51" t="str">
            <v>Empregado CLT</v>
          </cell>
          <cell r="Q51">
            <v>0.27500000000000002</v>
          </cell>
        </row>
        <row r="52">
          <cell r="L52" t="str">
            <v>SP</v>
          </cell>
          <cell r="M52" t="str">
            <v>Empregado CLT</v>
          </cell>
          <cell r="Q52">
            <v>0.22500000000000001</v>
          </cell>
        </row>
        <row r="53">
          <cell r="L53" t="str">
            <v>CE</v>
          </cell>
          <cell r="M53" t="str">
            <v>Empresário</v>
          </cell>
          <cell r="Q53" t="str">
            <v>Isento</v>
          </cell>
        </row>
        <row r="54">
          <cell r="L54" t="str">
            <v>MG</v>
          </cell>
          <cell r="M54" t="str">
            <v>Aposentado</v>
          </cell>
          <cell r="Q54" t="str">
            <v>Isento</v>
          </cell>
        </row>
        <row r="55">
          <cell r="L55" t="str">
            <v>PB</v>
          </cell>
          <cell r="M55" t="str">
            <v>Empregado CLT</v>
          </cell>
          <cell r="Q55">
            <v>0.27500000000000002</v>
          </cell>
        </row>
        <row r="56">
          <cell r="L56" t="str">
            <v>RJ</v>
          </cell>
          <cell r="M56" t="str">
            <v>Empregado CLT</v>
          </cell>
          <cell r="Q56">
            <v>0.27500000000000002</v>
          </cell>
        </row>
        <row r="57">
          <cell r="L57" t="str">
            <v>SP</v>
          </cell>
          <cell r="M57" t="str">
            <v>Empresário</v>
          </cell>
          <cell r="Q57">
            <v>0.15</v>
          </cell>
        </row>
        <row r="58">
          <cell r="L58" t="str">
            <v>PB</v>
          </cell>
          <cell r="M58" t="str">
            <v>Aposentado</v>
          </cell>
          <cell r="Q58">
            <v>7.4999999999999997E-2</v>
          </cell>
        </row>
        <row r="59">
          <cell r="L59" t="str">
            <v>RS</v>
          </cell>
          <cell r="M59" t="str">
            <v>Empregado CLT</v>
          </cell>
          <cell r="Q59">
            <v>7.4999999999999997E-2</v>
          </cell>
        </row>
        <row r="60">
          <cell r="L60" t="str">
            <v>ES</v>
          </cell>
          <cell r="M60" t="str">
            <v>Autônomo</v>
          </cell>
          <cell r="Q60">
            <v>0.15</v>
          </cell>
        </row>
        <row r="61">
          <cell r="L61" t="str">
            <v>GO</v>
          </cell>
          <cell r="M61" t="str">
            <v>Aposentado</v>
          </cell>
          <cell r="Q61">
            <v>0.22500000000000001</v>
          </cell>
        </row>
        <row r="62">
          <cell r="L62" t="str">
            <v>PE</v>
          </cell>
          <cell r="M62" t="str">
            <v>Empregado CLT</v>
          </cell>
          <cell r="Q62">
            <v>0.27500000000000002</v>
          </cell>
        </row>
        <row r="63">
          <cell r="L63" t="str">
            <v>MG</v>
          </cell>
          <cell r="M63" t="str">
            <v>Autônomo</v>
          </cell>
          <cell r="Q63">
            <v>0.15</v>
          </cell>
        </row>
        <row r="64">
          <cell r="L64" t="str">
            <v>SP</v>
          </cell>
          <cell r="M64" t="str">
            <v>Aposentado</v>
          </cell>
          <cell r="Q64">
            <v>7.4999999999999997E-2</v>
          </cell>
        </row>
        <row r="65">
          <cell r="L65" t="str">
            <v>RJ</v>
          </cell>
          <cell r="M65" t="str">
            <v>Investidor</v>
          </cell>
          <cell r="Q65">
            <v>0.22500000000000001</v>
          </cell>
        </row>
        <row r="66">
          <cell r="L66" t="str">
            <v>GO</v>
          </cell>
          <cell r="M66" t="str">
            <v>Autônomo</v>
          </cell>
          <cell r="Q66">
            <v>0.27500000000000002</v>
          </cell>
        </row>
        <row r="67">
          <cell r="L67" t="str">
            <v>RJ</v>
          </cell>
          <cell r="M67" t="str">
            <v>Empregado CLT</v>
          </cell>
          <cell r="Q67">
            <v>7.4999999999999997E-2</v>
          </cell>
        </row>
        <row r="68">
          <cell r="L68" t="str">
            <v>SP</v>
          </cell>
          <cell r="M68" t="str">
            <v>Empresário</v>
          </cell>
          <cell r="Q68">
            <v>0.22500000000000001</v>
          </cell>
        </row>
        <row r="69">
          <cell r="L69" t="str">
            <v>PR</v>
          </cell>
          <cell r="M69" t="str">
            <v>Aposentado</v>
          </cell>
          <cell r="Q69">
            <v>0.27500000000000002</v>
          </cell>
        </row>
        <row r="70">
          <cell r="L70" t="str">
            <v>BA</v>
          </cell>
          <cell r="M70" t="str">
            <v>Aposentado</v>
          </cell>
          <cell r="Q70" t="str">
            <v>Isento</v>
          </cell>
        </row>
        <row r="71">
          <cell r="L71" t="str">
            <v>DF</v>
          </cell>
          <cell r="M71" t="str">
            <v>Investidor</v>
          </cell>
          <cell r="Q71">
            <v>0.22500000000000001</v>
          </cell>
        </row>
        <row r="72">
          <cell r="L72" t="str">
            <v>AM</v>
          </cell>
          <cell r="M72" t="str">
            <v>Investidor</v>
          </cell>
          <cell r="Q72">
            <v>0.15</v>
          </cell>
        </row>
        <row r="73">
          <cell r="L73" t="str">
            <v>RJ</v>
          </cell>
          <cell r="M73" t="str">
            <v>Empregado CLT</v>
          </cell>
          <cell r="Q73">
            <v>7.4999999999999997E-2</v>
          </cell>
        </row>
        <row r="74">
          <cell r="L74" t="str">
            <v>RS</v>
          </cell>
          <cell r="M74" t="str">
            <v>Autônomo</v>
          </cell>
          <cell r="Q74">
            <v>7.4999999999999997E-2</v>
          </cell>
        </row>
        <row r="75">
          <cell r="L75" t="str">
            <v>DF</v>
          </cell>
          <cell r="M75" t="str">
            <v>Investidor</v>
          </cell>
          <cell r="Q75">
            <v>0.22500000000000001</v>
          </cell>
        </row>
        <row r="76">
          <cell r="L76" t="str">
            <v>RS</v>
          </cell>
          <cell r="M76" t="str">
            <v>Investidor</v>
          </cell>
          <cell r="Q76">
            <v>0.22500000000000001</v>
          </cell>
        </row>
        <row r="77">
          <cell r="L77" t="str">
            <v>BA</v>
          </cell>
          <cell r="M77" t="str">
            <v>Empresário</v>
          </cell>
          <cell r="Q77">
            <v>7.4999999999999997E-2</v>
          </cell>
        </row>
        <row r="78">
          <cell r="L78" t="str">
            <v>SC</v>
          </cell>
          <cell r="M78" t="str">
            <v>Investidor</v>
          </cell>
          <cell r="Q78">
            <v>7.4999999999999997E-2</v>
          </cell>
        </row>
        <row r="79">
          <cell r="L79" t="str">
            <v>PB</v>
          </cell>
          <cell r="M79" t="str">
            <v>Autônomo</v>
          </cell>
          <cell r="Q79">
            <v>0.27500000000000002</v>
          </cell>
        </row>
        <row r="80">
          <cell r="L80" t="str">
            <v>PE</v>
          </cell>
          <cell r="M80" t="str">
            <v>Autônomo</v>
          </cell>
          <cell r="Q80">
            <v>0.15</v>
          </cell>
        </row>
        <row r="81">
          <cell r="L81" t="str">
            <v>DF</v>
          </cell>
          <cell r="M81" t="str">
            <v>Autônomo</v>
          </cell>
          <cell r="Q81">
            <v>7.4999999999999997E-2</v>
          </cell>
        </row>
        <row r="82">
          <cell r="L82" t="str">
            <v>RS</v>
          </cell>
          <cell r="M82" t="str">
            <v>Empregado CLT</v>
          </cell>
          <cell r="Q82">
            <v>0.22500000000000001</v>
          </cell>
        </row>
        <row r="83">
          <cell r="L83" t="str">
            <v>SC</v>
          </cell>
          <cell r="M83" t="str">
            <v>Empregado CLT</v>
          </cell>
          <cell r="Q83">
            <v>7.4999999999999997E-2</v>
          </cell>
        </row>
        <row r="84">
          <cell r="L84" t="str">
            <v>PE</v>
          </cell>
          <cell r="M84" t="str">
            <v>Empresário</v>
          </cell>
          <cell r="Q84" t="str">
            <v>Isento</v>
          </cell>
        </row>
        <row r="85">
          <cell r="L85" t="str">
            <v>ES</v>
          </cell>
          <cell r="M85" t="str">
            <v>Empresário</v>
          </cell>
          <cell r="Q85">
            <v>0.27500000000000002</v>
          </cell>
        </row>
        <row r="86">
          <cell r="L86" t="str">
            <v>ES</v>
          </cell>
          <cell r="M86" t="str">
            <v>Empresário</v>
          </cell>
          <cell r="Q86">
            <v>0.15</v>
          </cell>
        </row>
        <row r="87">
          <cell r="L87" t="str">
            <v>DF</v>
          </cell>
          <cell r="M87" t="str">
            <v>Empregado CLT</v>
          </cell>
          <cell r="Q87">
            <v>0.27500000000000002</v>
          </cell>
        </row>
        <row r="88">
          <cell r="L88" t="str">
            <v>AM</v>
          </cell>
          <cell r="M88" t="str">
            <v>Empresário</v>
          </cell>
          <cell r="Q88">
            <v>0.15</v>
          </cell>
        </row>
        <row r="89">
          <cell r="L89" t="str">
            <v>SC</v>
          </cell>
          <cell r="M89" t="str">
            <v>Empregado CLT</v>
          </cell>
          <cell r="Q89">
            <v>0.15</v>
          </cell>
        </row>
        <row r="90">
          <cell r="L90" t="str">
            <v>MT</v>
          </cell>
          <cell r="M90" t="str">
            <v>Investidor</v>
          </cell>
          <cell r="Q90">
            <v>0.15</v>
          </cell>
        </row>
        <row r="91">
          <cell r="L91" t="str">
            <v>PB</v>
          </cell>
          <cell r="M91" t="str">
            <v>Empregado CLT</v>
          </cell>
          <cell r="Q91">
            <v>0.22500000000000001</v>
          </cell>
        </row>
        <row r="92">
          <cell r="L92" t="str">
            <v>GO</v>
          </cell>
          <cell r="M92" t="str">
            <v>Empregado CLT</v>
          </cell>
          <cell r="Q92">
            <v>0.22500000000000001</v>
          </cell>
        </row>
        <row r="93">
          <cell r="L93" t="str">
            <v>SP</v>
          </cell>
          <cell r="M93" t="str">
            <v>Aposentado</v>
          </cell>
          <cell r="Q93">
            <v>0.22500000000000001</v>
          </cell>
        </row>
        <row r="94">
          <cell r="L94" t="str">
            <v>PE</v>
          </cell>
          <cell r="M94" t="str">
            <v>Empresário</v>
          </cell>
          <cell r="Q94">
            <v>0.22500000000000001</v>
          </cell>
        </row>
        <row r="95">
          <cell r="L95" t="str">
            <v>SP</v>
          </cell>
          <cell r="M95" t="str">
            <v>Empresário</v>
          </cell>
          <cell r="Q95">
            <v>0.27500000000000002</v>
          </cell>
        </row>
        <row r="96">
          <cell r="L96" t="str">
            <v>BA</v>
          </cell>
          <cell r="M96" t="str">
            <v>Autônomo</v>
          </cell>
          <cell r="Q96">
            <v>0.27500000000000002</v>
          </cell>
        </row>
        <row r="97">
          <cell r="L97" t="str">
            <v>MG</v>
          </cell>
          <cell r="M97" t="str">
            <v>Autônomo</v>
          </cell>
          <cell r="Q97">
            <v>0.15</v>
          </cell>
        </row>
        <row r="98">
          <cell r="L98" t="str">
            <v>AM</v>
          </cell>
          <cell r="M98" t="str">
            <v>Autônomo</v>
          </cell>
          <cell r="Q98" t="str">
            <v>Isento</v>
          </cell>
        </row>
        <row r="99">
          <cell r="L99" t="str">
            <v>RS</v>
          </cell>
          <cell r="M99" t="str">
            <v>Aposentado</v>
          </cell>
          <cell r="Q99">
            <v>0.27500000000000002</v>
          </cell>
        </row>
        <row r="100">
          <cell r="L100" t="str">
            <v>CE</v>
          </cell>
          <cell r="M100" t="str">
            <v>Empregado CLT</v>
          </cell>
          <cell r="Q100" t="str">
            <v>Isento</v>
          </cell>
        </row>
        <row r="101">
          <cell r="L101" t="str">
            <v>RS</v>
          </cell>
          <cell r="M101" t="str">
            <v>Aposentado</v>
          </cell>
          <cell r="Q101">
            <v>7.4999999999999997E-2</v>
          </cell>
        </row>
        <row r="102">
          <cell r="L102" t="str">
            <v>ES</v>
          </cell>
          <cell r="M102" t="str">
            <v>Autônomo</v>
          </cell>
          <cell r="Q102">
            <v>0.15</v>
          </cell>
        </row>
        <row r="103">
          <cell r="L103" t="str">
            <v>SP</v>
          </cell>
          <cell r="M103" t="str">
            <v>Aposentado</v>
          </cell>
          <cell r="Q103">
            <v>0.27500000000000002</v>
          </cell>
        </row>
        <row r="104">
          <cell r="L104" t="str">
            <v>MT</v>
          </cell>
          <cell r="M104" t="str">
            <v>Empresário</v>
          </cell>
          <cell r="Q104" t="str">
            <v>Isento</v>
          </cell>
        </row>
        <row r="105">
          <cell r="L105" t="str">
            <v>SP</v>
          </cell>
          <cell r="M105" t="str">
            <v>Empresário</v>
          </cell>
          <cell r="Q105">
            <v>0.15</v>
          </cell>
        </row>
        <row r="106">
          <cell r="L106" t="str">
            <v>CE</v>
          </cell>
          <cell r="M106" t="str">
            <v>Autônomo</v>
          </cell>
          <cell r="Q106" t="str">
            <v>Isento</v>
          </cell>
        </row>
        <row r="107">
          <cell r="L107" t="str">
            <v>SP</v>
          </cell>
          <cell r="M107" t="str">
            <v>Autônomo</v>
          </cell>
          <cell r="Q107">
            <v>7.4999999999999997E-2</v>
          </cell>
        </row>
        <row r="108">
          <cell r="L108" t="str">
            <v>SC</v>
          </cell>
          <cell r="M108" t="str">
            <v>Aposentado</v>
          </cell>
          <cell r="Q108">
            <v>0.22500000000000001</v>
          </cell>
        </row>
        <row r="109">
          <cell r="L109" t="str">
            <v>PE</v>
          </cell>
          <cell r="M109" t="str">
            <v>Empregado CLT</v>
          </cell>
          <cell r="Q109" t="str">
            <v>Isento</v>
          </cell>
        </row>
        <row r="110">
          <cell r="L110" t="str">
            <v>BA</v>
          </cell>
          <cell r="M110" t="str">
            <v>Empregado CLT</v>
          </cell>
          <cell r="Q110">
            <v>0.22500000000000001</v>
          </cell>
        </row>
        <row r="111">
          <cell r="L111" t="str">
            <v>SP</v>
          </cell>
          <cell r="M111" t="str">
            <v>Empregado CLT</v>
          </cell>
          <cell r="Q111">
            <v>0.15</v>
          </cell>
        </row>
        <row r="112">
          <cell r="L112" t="str">
            <v>SC</v>
          </cell>
          <cell r="M112" t="str">
            <v>Aposentado</v>
          </cell>
          <cell r="Q112">
            <v>7.4999999999999997E-2</v>
          </cell>
        </row>
        <row r="113">
          <cell r="L113" t="str">
            <v>PB</v>
          </cell>
          <cell r="M113" t="str">
            <v>Empresário</v>
          </cell>
          <cell r="Q113">
            <v>7.4999999999999997E-2</v>
          </cell>
        </row>
        <row r="114">
          <cell r="L114" t="str">
            <v>GO</v>
          </cell>
          <cell r="M114" t="str">
            <v>Empregado CLT</v>
          </cell>
          <cell r="Q114" t="str">
            <v>Isento</v>
          </cell>
        </row>
        <row r="115">
          <cell r="L115" t="str">
            <v>GO</v>
          </cell>
          <cell r="M115" t="str">
            <v>Autônomo</v>
          </cell>
          <cell r="Q115" t="str">
            <v>Isento</v>
          </cell>
        </row>
        <row r="116">
          <cell r="L116" t="str">
            <v>ES</v>
          </cell>
          <cell r="M116" t="str">
            <v>Empregado CLT</v>
          </cell>
          <cell r="Q116" t="str">
            <v>Isento</v>
          </cell>
        </row>
        <row r="117">
          <cell r="L117" t="str">
            <v>DF</v>
          </cell>
          <cell r="M117" t="str">
            <v>Autônomo</v>
          </cell>
          <cell r="Q117" t="str">
            <v>Isento</v>
          </cell>
        </row>
        <row r="118">
          <cell r="L118" t="str">
            <v>PB</v>
          </cell>
          <cell r="M118" t="str">
            <v>Investidor</v>
          </cell>
          <cell r="Q118" t="str">
            <v>Isento</v>
          </cell>
        </row>
        <row r="119">
          <cell r="L119" t="str">
            <v>PB</v>
          </cell>
          <cell r="M119" t="str">
            <v>Empresário</v>
          </cell>
          <cell r="Q119">
            <v>0.27500000000000002</v>
          </cell>
        </row>
        <row r="120">
          <cell r="L120" t="str">
            <v>GO</v>
          </cell>
          <cell r="M120" t="str">
            <v>Aposentado</v>
          </cell>
          <cell r="Q120">
            <v>0.27500000000000002</v>
          </cell>
        </row>
        <row r="121">
          <cell r="L121" t="str">
            <v>PR</v>
          </cell>
          <cell r="M121" t="str">
            <v>Empregado CLT</v>
          </cell>
          <cell r="Q121">
            <v>0.15</v>
          </cell>
        </row>
        <row r="122">
          <cell r="L122" t="str">
            <v>PE</v>
          </cell>
          <cell r="M122" t="str">
            <v>Empresário</v>
          </cell>
          <cell r="Q122">
            <v>0.15</v>
          </cell>
        </row>
        <row r="123">
          <cell r="L123" t="str">
            <v>SC</v>
          </cell>
          <cell r="M123" t="str">
            <v>Investidor</v>
          </cell>
          <cell r="Q123">
            <v>0.15</v>
          </cell>
        </row>
        <row r="124">
          <cell r="L124" t="str">
            <v>ES</v>
          </cell>
          <cell r="M124" t="str">
            <v>Aposentado</v>
          </cell>
          <cell r="Q124">
            <v>0.15</v>
          </cell>
        </row>
        <row r="125">
          <cell r="L125" t="str">
            <v>AM</v>
          </cell>
          <cell r="M125" t="str">
            <v>Aposentado</v>
          </cell>
          <cell r="Q125">
            <v>0.27500000000000002</v>
          </cell>
        </row>
        <row r="126">
          <cell r="L126" t="str">
            <v>PR</v>
          </cell>
          <cell r="M126" t="str">
            <v>Aposentado</v>
          </cell>
          <cell r="Q126" t="str">
            <v>Isento</v>
          </cell>
        </row>
        <row r="127">
          <cell r="L127" t="str">
            <v>RJ</v>
          </cell>
          <cell r="M127" t="str">
            <v>Aposentado</v>
          </cell>
          <cell r="Q127" t="str">
            <v>Isento</v>
          </cell>
        </row>
        <row r="128">
          <cell r="L128" t="str">
            <v>SC</v>
          </cell>
          <cell r="M128" t="str">
            <v>Aposentado</v>
          </cell>
          <cell r="Q128">
            <v>7.4999999999999997E-2</v>
          </cell>
        </row>
        <row r="129">
          <cell r="L129" t="str">
            <v>BA</v>
          </cell>
          <cell r="M129" t="str">
            <v>Autônomo</v>
          </cell>
          <cell r="Q129">
            <v>0.22500000000000001</v>
          </cell>
        </row>
        <row r="130">
          <cell r="L130" t="str">
            <v>PR</v>
          </cell>
          <cell r="M130" t="str">
            <v>Empresário</v>
          </cell>
          <cell r="Q130">
            <v>0.22500000000000001</v>
          </cell>
        </row>
        <row r="131">
          <cell r="L131" t="str">
            <v>PR</v>
          </cell>
          <cell r="M131" t="str">
            <v>Empresário</v>
          </cell>
          <cell r="Q131">
            <v>0.22500000000000001</v>
          </cell>
        </row>
        <row r="132">
          <cell r="L132" t="str">
            <v>PR</v>
          </cell>
          <cell r="M132" t="str">
            <v>Empresário</v>
          </cell>
          <cell r="Q132" t="str">
            <v>Isento</v>
          </cell>
        </row>
        <row r="133">
          <cell r="L133" t="str">
            <v>MT</v>
          </cell>
          <cell r="M133" t="str">
            <v>Investidor</v>
          </cell>
          <cell r="Q133">
            <v>0.27500000000000002</v>
          </cell>
        </row>
        <row r="134">
          <cell r="L134" t="str">
            <v>PE</v>
          </cell>
          <cell r="M134" t="str">
            <v>Empregado CLT</v>
          </cell>
          <cell r="Q134" t="str">
            <v>Isento</v>
          </cell>
        </row>
        <row r="135">
          <cell r="L135" t="str">
            <v>BA</v>
          </cell>
          <cell r="M135" t="str">
            <v>Aposentado</v>
          </cell>
          <cell r="Q135">
            <v>0.27500000000000002</v>
          </cell>
        </row>
        <row r="136">
          <cell r="L136" t="str">
            <v>MG</v>
          </cell>
          <cell r="M136" t="str">
            <v>Empregado CLT</v>
          </cell>
          <cell r="Q136" t="str">
            <v>Isento</v>
          </cell>
        </row>
        <row r="137">
          <cell r="L137" t="str">
            <v>AM</v>
          </cell>
          <cell r="M137" t="str">
            <v>Empregado CLT</v>
          </cell>
          <cell r="Q137">
            <v>0.15</v>
          </cell>
        </row>
        <row r="138">
          <cell r="L138" t="str">
            <v>BA</v>
          </cell>
          <cell r="M138" t="str">
            <v>Empregado CLT</v>
          </cell>
          <cell r="Q138">
            <v>0.15</v>
          </cell>
        </row>
        <row r="139">
          <cell r="L139" t="str">
            <v>RJ</v>
          </cell>
          <cell r="M139" t="str">
            <v>Investidor</v>
          </cell>
          <cell r="Q139">
            <v>0.22500000000000001</v>
          </cell>
        </row>
        <row r="140">
          <cell r="L140" t="str">
            <v>BA</v>
          </cell>
          <cell r="M140" t="str">
            <v>Empregado CLT</v>
          </cell>
          <cell r="Q140">
            <v>0.15</v>
          </cell>
        </row>
        <row r="141">
          <cell r="L141" t="str">
            <v>ES</v>
          </cell>
          <cell r="M141" t="str">
            <v>Empregado CLT</v>
          </cell>
          <cell r="Q141">
            <v>7.4999999999999997E-2</v>
          </cell>
        </row>
        <row r="142">
          <cell r="L142" t="str">
            <v>GO</v>
          </cell>
          <cell r="M142" t="str">
            <v>Autônomo</v>
          </cell>
          <cell r="Q142" t="str">
            <v>Isento</v>
          </cell>
        </row>
        <row r="143">
          <cell r="L143" t="str">
            <v>PB</v>
          </cell>
          <cell r="M143" t="str">
            <v>Aposentado</v>
          </cell>
          <cell r="Q143" t="str">
            <v>Isento</v>
          </cell>
        </row>
        <row r="144">
          <cell r="L144" t="str">
            <v>AM</v>
          </cell>
          <cell r="M144" t="str">
            <v>Aposentado</v>
          </cell>
          <cell r="Q144">
            <v>0.22500000000000001</v>
          </cell>
        </row>
        <row r="145">
          <cell r="L145" t="str">
            <v>BA</v>
          </cell>
          <cell r="M145" t="str">
            <v>Aposentado</v>
          </cell>
          <cell r="Q145">
            <v>0.15</v>
          </cell>
        </row>
        <row r="146">
          <cell r="L146" t="str">
            <v>RS</v>
          </cell>
          <cell r="M146" t="str">
            <v>Autônomo</v>
          </cell>
          <cell r="Q146">
            <v>0.22500000000000001</v>
          </cell>
        </row>
        <row r="147">
          <cell r="L147" t="str">
            <v>GO</v>
          </cell>
          <cell r="M147" t="str">
            <v>Aposentado</v>
          </cell>
          <cell r="Q147">
            <v>0.22500000000000001</v>
          </cell>
        </row>
        <row r="148">
          <cell r="L148" t="str">
            <v>PE</v>
          </cell>
          <cell r="M148" t="str">
            <v>Investidor</v>
          </cell>
          <cell r="Q148">
            <v>7.4999999999999997E-2</v>
          </cell>
        </row>
        <row r="149">
          <cell r="L149" t="str">
            <v>RJ</v>
          </cell>
          <cell r="M149" t="str">
            <v>Empresário</v>
          </cell>
          <cell r="Q149">
            <v>0.22500000000000001</v>
          </cell>
        </row>
        <row r="150">
          <cell r="L150" t="str">
            <v>DF</v>
          </cell>
          <cell r="M150" t="str">
            <v>Autônomo</v>
          </cell>
          <cell r="Q150">
            <v>7.4999999999999997E-2</v>
          </cell>
        </row>
        <row r="151">
          <cell r="L151" t="str">
            <v>PR</v>
          </cell>
          <cell r="M151" t="str">
            <v>Investidor</v>
          </cell>
          <cell r="Q151" t="str">
            <v>Isento</v>
          </cell>
        </row>
        <row r="152">
          <cell r="L152" t="str">
            <v>BA</v>
          </cell>
          <cell r="M152" t="str">
            <v>Aposentado</v>
          </cell>
          <cell r="Q152">
            <v>0.27500000000000002</v>
          </cell>
        </row>
        <row r="153">
          <cell r="L153" t="str">
            <v>CE</v>
          </cell>
          <cell r="M153" t="str">
            <v>Empregado CLT</v>
          </cell>
          <cell r="Q153">
            <v>0.15</v>
          </cell>
        </row>
        <row r="154">
          <cell r="L154" t="str">
            <v>MG</v>
          </cell>
          <cell r="M154" t="str">
            <v>Investidor</v>
          </cell>
          <cell r="Q154">
            <v>0.27500000000000002</v>
          </cell>
        </row>
        <row r="155">
          <cell r="L155" t="str">
            <v>PB</v>
          </cell>
          <cell r="M155" t="str">
            <v>Autônomo</v>
          </cell>
          <cell r="Q155" t="str">
            <v>Isento</v>
          </cell>
        </row>
        <row r="156">
          <cell r="L156" t="str">
            <v>RJ</v>
          </cell>
          <cell r="M156" t="str">
            <v>Aposentado</v>
          </cell>
          <cell r="Q156">
            <v>0.15</v>
          </cell>
        </row>
        <row r="157">
          <cell r="L157" t="str">
            <v>MG</v>
          </cell>
          <cell r="M157" t="str">
            <v>Empregado CLT</v>
          </cell>
          <cell r="Q157" t="str">
            <v>Isento</v>
          </cell>
        </row>
        <row r="158">
          <cell r="L158" t="str">
            <v>PB</v>
          </cell>
          <cell r="M158" t="str">
            <v>Empresário</v>
          </cell>
          <cell r="Q158">
            <v>0.27500000000000002</v>
          </cell>
        </row>
        <row r="159">
          <cell r="L159" t="str">
            <v>BA</v>
          </cell>
          <cell r="M159" t="str">
            <v>Empregado CLT</v>
          </cell>
          <cell r="Q159">
            <v>0.15</v>
          </cell>
        </row>
        <row r="160">
          <cell r="L160" t="str">
            <v>AM</v>
          </cell>
          <cell r="M160" t="str">
            <v>Investidor</v>
          </cell>
          <cell r="Q160">
            <v>0.22500000000000001</v>
          </cell>
        </row>
        <row r="161">
          <cell r="L161" t="str">
            <v>RS</v>
          </cell>
          <cell r="M161" t="str">
            <v>Aposentado</v>
          </cell>
          <cell r="Q161">
            <v>0.27500000000000002</v>
          </cell>
        </row>
        <row r="162">
          <cell r="L162" t="str">
            <v>GO</v>
          </cell>
          <cell r="M162" t="str">
            <v>Empregado CLT</v>
          </cell>
          <cell r="Q162">
            <v>0.22500000000000001</v>
          </cell>
        </row>
        <row r="163">
          <cell r="L163" t="str">
            <v>CE</v>
          </cell>
          <cell r="M163" t="str">
            <v>Investidor</v>
          </cell>
          <cell r="Q163">
            <v>0.27500000000000002</v>
          </cell>
        </row>
        <row r="164">
          <cell r="L164" t="str">
            <v>PE</v>
          </cell>
          <cell r="M164" t="str">
            <v>Empresário</v>
          </cell>
          <cell r="Q164" t="str">
            <v>Isento</v>
          </cell>
        </row>
        <row r="165">
          <cell r="L165" t="str">
            <v>RS</v>
          </cell>
          <cell r="M165" t="str">
            <v>Autônomo</v>
          </cell>
          <cell r="Q165">
            <v>0.15</v>
          </cell>
        </row>
        <row r="166">
          <cell r="L166" t="str">
            <v>RS</v>
          </cell>
          <cell r="M166" t="str">
            <v>Empresário</v>
          </cell>
          <cell r="Q166">
            <v>0.15</v>
          </cell>
        </row>
        <row r="167">
          <cell r="L167" t="str">
            <v>SC</v>
          </cell>
          <cell r="M167" t="str">
            <v>Autônomo</v>
          </cell>
          <cell r="Q167">
            <v>7.4999999999999997E-2</v>
          </cell>
        </row>
        <row r="168">
          <cell r="L168" t="str">
            <v>PR</v>
          </cell>
          <cell r="M168" t="str">
            <v>Autônomo</v>
          </cell>
          <cell r="Q168">
            <v>0.27500000000000002</v>
          </cell>
        </row>
        <row r="169">
          <cell r="L169" t="str">
            <v>MT</v>
          </cell>
          <cell r="M169" t="str">
            <v>Empregado CLT</v>
          </cell>
          <cell r="Q169">
            <v>0.15</v>
          </cell>
        </row>
        <row r="170">
          <cell r="L170" t="str">
            <v>MG</v>
          </cell>
          <cell r="M170" t="str">
            <v>Empregado CLT</v>
          </cell>
          <cell r="Q170">
            <v>0.22500000000000001</v>
          </cell>
        </row>
        <row r="171">
          <cell r="L171" t="str">
            <v>PB</v>
          </cell>
          <cell r="M171" t="str">
            <v>Investidor</v>
          </cell>
          <cell r="Q171">
            <v>7.4999999999999997E-2</v>
          </cell>
        </row>
        <row r="172">
          <cell r="L172" t="str">
            <v>PB</v>
          </cell>
          <cell r="M172" t="str">
            <v>Empresário</v>
          </cell>
          <cell r="Q172">
            <v>0.27500000000000002</v>
          </cell>
        </row>
        <row r="173">
          <cell r="L173" t="str">
            <v>SP</v>
          </cell>
          <cell r="M173" t="str">
            <v>Empregado CLT</v>
          </cell>
          <cell r="Q173">
            <v>7.4999999999999997E-2</v>
          </cell>
        </row>
        <row r="174">
          <cell r="L174" t="str">
            <v>AM</v>
          </cell>
          <cell r="M174" t="str">
            <v>Empregado CLT</v>
          </cell>
          <cell r="Q174">
            <v>7.4999999999999997E-2</v>
          </cell>
        </row>
        <row r="175">
          <cell r="L175" t="str">
            <v>ES</v>
          </cell>
          <cell r="M175" t="str">
            <v>Empresário</v>
          </cell>
          <cell r="Q175">
            <v>0.15</v>
          </cell>
        </row>
        <row r="176">
          <cell r="L176" t="str">
            <v>BA</v>
          </cell>
          <cell r="M176" t="str">
            <v>Autônomo</v>
          </cell>
          <cell r="Q176">
            <v>0.15</v>
          </cell>
        </row>
        <row r="177">
          <cell r="L177" t="str">
            <v>CE</v>
          </cell>
          <cell r="M177" t="str">
            <v>Investidor</v>
          </cell>
          <cell r="Q177">
            <v>0.22500000000000001</v>
          </cell>
        </row>
        <row r="178">
          <cell r="L178" t="str">
            <v>RS</v>
          </cell>
          <cell r="M178" t="str">
            <v>Autônomo</v>
          </cell>
          <cell r="Q178" t="str">
            <v>Isento</v>
          </cell>
        </row>
        <row r="179">
          <cell r="L179" t="str">
            <v>SC</v>
          </cell>
          <cell r="M179" t="str">
            <v>Empregado CLT</v>
          </cell>
          <cell r="Q179">
            <v>0.22500000000000001</v>
          </cell>
        </row>
        <row r="180">
          <cell r="L180" t="str">
            <v>AM</v>
          </cell>
          <cell r="M180" t="str">
            <v>Aposentado</v>
          </cell>
          <cell r="Q180">
            <v>7.4999999999999997E-2</v>
          </cell>
        </row>
        <row r="181">
          <cell r="L181" t="str">
            <v>PB</v>
          </cell>
          <cell r="M181" t="str">
            <v>Empresário</v>
          </cell>
          <cell r="Q181" t="str">
            <v>Isento</v>
          </cell>
        </row>
        <row r="182">
          <cell r="L182" t="str">
            <v>AM</v>
          </cell>
          <cell r="M182" t="str">
            <v>Empregado CLT</v>
          </cell>
          <cell r="Q182">
            <v>0.27500000000000002</v>
          </cell>
        </row>
        <row r="183">
          <cell r="L183" t="str">
            <v>AM</v>
          </cell>
          <cell r="M183" t="str">
            <v>Empresário</v>
          </cell>
          <cell r="Q183" t="str">
            <v>Isento</v>
          </cell>
        </row>
        <row r="184">
          <cell r="L184" t="str">
            <v>SP</v>
          </cell>
          <cell r="M184" t="str">
            <v>Autônomo</v>
          </cell>
          <cell r="Q184">
            <v>0.22500000000000001</v>
          </cell>
        </row>
        <row r="185">
          <cell r="L185" t="str">
            <v>PR</v>
          </cell>
          <cell r="M185" t="str">
            <v>Aposentado</v>
          </cell>
          <cell r="Q185">
            <v>0.15</v>
          </cell>
        </row>
        <row r="186">
          <cell r="L186" t="str">
            <v>BA</v>
          </cell>
          <cell r="M186" t="str">
            <v>Empresário</v>
          </cell>
          <cell r="Q186">
            <v>0.27500000000000002</v>
          </cell>
        </row>
        <row r="187">
          <cell r="L187" t="str">
            <v>BA</v>
          </cell>
          <cell r="M187" t="str">
            <v>Empregado CLT</v>
          </cell>
          <cell r="Q187">
            <v>0.15</v>
          </cell>
        </row>
        <row r="188">
          <cell r="L188" t="str">
            <v>RS</v>
          </cell>
          <cell r="M188" t="str">
            <v>Aposentado</v>
          </cell>
          <cell r="Q188">
            <v>0.22500000000000001</v>
          </cell>
        </row>
        <row r="189">
          <cell r="L189" t="str">
            <v>BA</v>
          </cell>
          <cell r="M189" t="str">
            <v>Empregado CLT</v>
          </cell>
          <cell r="Q189">
            <v>7.4999999999999997E-2</v>
          </cell>
        </row>
        <row r="190">
          <cell r="L190" t="str">
            <v>AM</v>
          </cell>
          <cell r="M190" t="str">
            <v>Empresário</v>
          </cell>
          <cell r="Q190">
            <v>0.22500000000000001</v>
          </cell>
        </row>
        <row r="191">
          <cell r="L191" t="str">
            <v>RJ</v>
          </cell>
          <cell r="M191" t="str">
            <v>Autônomo</v>
          </cell>
          <cell r="Q191">
            <v>0.27500000000000002</v>
          </cell>
        </row>
        <row r="192">
          <cell r="L192" t="str">
            <v>RS</v>
          </cell>
          <cell r="M192" t="str">
            <v>Empresário</v>
          </cell>
          <cell r="Q192">
            <v>7.4999999999999997E-2</v>
          </cell>
        </row>
        <row r="193">
          <cell r="L193" t="str">
            <v>ES</v>
          </cell>
          <cell r="M193" t="str">
            <v>Empresário</v>
          </cell>
          <cell r="Q193" t="str">
            <v>Isento</v>
          </cell>
        </row>
        <row r="194">
          <cell r="L194" t="str">
            <v>PB</v>
          </cell>
          <cell r="M194" t="str">
            <v>Aposentado</v>
          </cell>
          <cell r="Q194">
            <v>0.15</v>
          </cell>
        </row>
        <row r="195">
          <cell r="L195" t="str">
            <v>AM</v>
          </cell>
          <cell r="M195" t="str">
            <v>Investidor</v>
          </cell>
          <cell r="Q195" t="str">
            <v>Isento</v>
          </cell>
        </row>
        <row r="196">
          <cell r="L196" t="str">
            <v>RS</v>
          </cell>
          <cell r="M196" t="str">
            <v>Empresário</v>
          </cell>
          <cell r="Q196">
            <v>0.27500000000000002</v>
          </cell>
        </row>
        <row r="197">
          <cell r="L197" t="str">
            <v>PE</v>
          </cell>
          <cell r="M197" t="str">
            <v>Investidor</v>
          </cell>
          <cell r="Q197">
            <v>0.22500000000000001</v>
          </cell>
        </row>
        <row r="198">
          <cell r="L198" t="str">
            <v>PR</v>
          </cell>
          <cell r="M198" t="str">
            <v>Empregado CLT</v>
          </cell>
          <cell r="Q198">
            <v>0.27500000000000002</v>
          </cell>
        </row>
        <row r="199">
          <cell r="L199" t="str">
            <v>RS</v>
          </cell>
          <cell r="M199" t="str">
            <v>Investidor</v>
          </cell>
          <cell r="Q199">
            <v>7.4999999999999997E-2</v>
          </cell>
        </row>
        <row r="200">
          <cell r="L200" t="str">
            <v>GO</v>
          </cell>
          <cell r="M200" t="str">
            <v>Investidor</v>
          </cell>
          <cell r="Q200">
            <v>7.4999999999999997E-2</v>
          </cell>
        </row>
        <row r="201">
          <cell r="L201" t="str">
            <v>GO</v>
          </cell>
          <cell r="M201" t="str">
            <v>Empregado CLT</v>
          </cell>
          <cell r="Q201" t="str">
            <v>Isento</v>
          </cell>
        </row>
        <row r="202">
          <cell r="L202" t="str">
            <v>BA</v>
          </cell>
          <cell r="M202" t="str">
            <v>Empresário</v>
          </cell>
          <cell r="Q202">
            <v>0.27500000000000002</v>
          </cell>
        </row>
        <row r="203">
          <cell r="L203" t="str">
            <v>MG</v>
          </cell>
          <cell r="M203" t="str">
            <v>Investidor</v>
          </cell>
          <cell r="Q203">
            <v>0.27500000000000002</v>
          </cell>
        </row>
        <row r="204">
          <cell r="L204" t="str">
            <v>SP</v>
          </cell>
          <cell r="M204" t="str">
            <v>Investidor</v>
          </cell>
          <cell r="Q204" t="str">
            <v>Isento</v>
          </cell>
        </row>
        <row r="205">
          <cell r="L205" t="str">
            <v>DF</v>
          </cell>
          <cell r="M205" t="str">
            <v>Empregado CLT</v>
          </cell>
          <cell r="Q205">
            <v>0.27500000000000002</v>
          </cell>
        </row>
        <row r="206">
          <cell r="L206" t="str">
            <v>CE</v>
          </cell>
          <cell r="M206" t="str">
            <v>Aposentado</v>
          </cell>
          <cell r="Q206">
            <v>0.27500000000000002</v>
          </cell>
        </row>
        <row r="207">
          <cell r="L207" t="str">
            <v>DF</v>
          </cell>
          <cell r="M207" t="str">
            <v>Aposentado</v>
          </cell>
          <cell r="Q207">
            <v>0.22500000000000001</v>
          </cell>
        </row>
        <row r="208">
          <cell r="L208" t="str">
            <v>MT</v>
          </cell>
          <cell r="M208" t="str">
            <v>Autônomo</v>
          </cell>
          <cell r="Q208">
            <v>7.4999999999999997E-2</v>
          </cell>
        </row>
        <row r="209">
          <cell r="L209" t="str">
            <v>MT</v>
          </cell>
          <cell r="M209" t="str">
            <v>Aposentado</v>
          </cell>
          <cell r="Q209">
            <v>0.22500000000000001</v>
          </cell>
        </row>
        <row r="210">
          <cell r="L210" t="str">
            <v>GO</v>
          </cell>
          <cell r="M210" t="str">
            <v>Autônomo</v>
          </cell>
          <cell r="Q210">
            <v>7.4999999999999997E-2</v>
          </cell>
        </row>
        <row r="211">
          <cell r="L211" t="str">
            <v>DF</v>
          </cell>
          <cell r="M211" t="str">
            <v>Empresário</v>
          </cell>
          <cell r="Q211">
            <v>0.15</v>
          </cell>
        </row>
        <row r="212">
          <cell r="L212" t="str">
            <v>SC</v>
          </cell>
          <cell r="M212" t="str">
            <v>Autônomo</v>
          </cell>
          <cell r="Q212">
            <v>7.4999999999999997E-2</v>
          </cell>
        </row>
        <row r="213">
          <cell r="L213" t="str">
            <v>CE</v>
          </cell>
          <cell r="M213" t="str">
            <v>Empresário</v>
          </cell>
          <cell r="Q213">
            <v>0.22500000000000001</v>
          </cell>
        </row>
        <row r="214">
          <cell r="L214" t="str">
            <v>MT</v>
          </cell>
          <cell r="M214" t="str">
            <v>Aposentado</v>
          </cell>
          <cell r="Q214">
            <v>0.27500000000000002</v>
          </cell>
        </row>
        <row r="215">
          <cell r="L215" t="str">
            <v>BA</v>
          </cell>
          <cell r="M215" t="str">
            <v>Investidor</v>
          </cell>
          <cell r="Q215">
            <v>0.22500000000000001</v>
          </cell>
        </row>
        <row r="216">
          <cell r="L216" t="str">
            <v>AM</v>
          </cell>
          <cell r="M216" t="str">
            <v>Aposentado</v>
          </cell>
          <cell r="Q216">
            <v>0.27500000000000002</v>
          </cell>
        </row>
        <row r="217">
          <cell r="L217" t="str">
            <v>RJ</v>
          </cell>
          <cell r="M217" t="str">
            <v>Empresário</v>
          </cell>
          <cell r="Q217" t="str">
            <v>Isento</v>
          </cell>
        </row>
        <row r="218">
          <cell r="L218" t="str">
            <v>AM</v>
          </cell>
          <cell r="M218" t="str">
            <v>Investidor</v>
          </cell>
          <cell r="Q218">
            <v>7.4999999999999997E-2</v>
          </cell>
        </row>
        <row r="219">
          <cell r="L219" t="str">
            <v>AM</v>
          </cell>
          <cell r="M219" t="str">
            <v>Empresário</v>
          </cell>
          <cell r="Q219">
            <v>0.22500000000000001</v>
          </cell>
        </row>
        <row r="220">
          <cell r="L220" t="str">
            <v>DF</v>
          </cell>
          <cell r="M220" t="str">
            <v>Empregado CLT</v>
          </cell>
          <cell r="Q220">
            <v>0.15</v>
          </cell>
        </row>
        <row r="221">
          <cell r="L221" t="str">
            <v>DF</v>
          </cell>
          <cell r="M221" t="str">
            <v>Empresário</v>
          </cell>
          <cell r="Q221" t="str">
            <v>Isento</v>
          </cell>
        </row>
        <row r="222">
          <cell r="L222" t="str">
            <v>ES</v>
          </cell>
          <cell r="M222" t="str">
            <v>Aposentado</v>
          </cell>
          <cell r="Q222">
            <v>0.27500000000000002</v>
          </cell>
        </row>
        <row r="223">
          <cell r="L223" t="str">
            <v>SP</v>
          </cell>
          <cell r="M223" t="str">
            <v>Investidor</v>
          </cell>
          <cell r="Q223">
            <v>7.4999999999999997E-2</v>
          </cell>
        </row>
        <row r="224">
          <cell r="L224" t="str">
            <v>MT</v>
          </cell>
          <cell r="M224" t="str">
            <v>Investidor</v>
          </cell>
          <cell r="Q224">
            <v>0.22500000000000001</v>
          </cell>
        </row>
        <row r="225">
          <cell r="L225" t="str">
            <v>RS</v>
          </cell>
          <cell r="M225" t="str">
            <v>Empregado CLT</v>
          </cell>
          <cell r="Q225">
            <v>7.4999999999999997E-2</v>
          </cell>
        </row>
        <row r="226">
          <cell r="L226" t="str">
            <v>GO</v>
          </cell>
          <cell r="M226" t="str">
            <v>Aposentado</v>
          </cell>
          <cell r="Q226" t="str">
            <v>Isento</v>
          </cell>
        </row>
        <row r="227">
          <cell r="L227" t="str">
            <v>RJ</v>
          </cell>
          <cell r="M227" t="str">
            <v>Empresário</v>
          </cell>
          <cell r="Q227">
            <v>0.22500000000000001</v>
          </cell>
        </row>
        <row r="228">
          <cell r="L228" t="str">
            <v>DF</v>
          </cell>
          <cell r="M228" t="str">
            <v>Empregado CLT</v>
          </cell>
          <cell r="Q228">
            <v>0.27500000000000002</v>
          </cell>
        </row>
        <row r="229">
          <cell r="L229" t="str">
            <v>SC</v>
          </cell>
          <cell r="M229" t="str">
            <v>Autônomo</v>
          </cell>
          <cell r="Q229">
            <v>7.4999999999999997E-2</v>
          </cell>
        </row>
        <row r="230">
          <cell r="L230" t="str">
            <v>CE</v>
          </cell>
          <cell r="M230" t="str">
            <v>Aposentado</v>
          </cell>
          <cell r="Q230">
            <v>0.15</v>
          </cell>
        </row>
        <row r="231">
          <cell r="L231" t="str">
            <v>CE</v>
          </cell>
          <cell r="M231" t="str">
            <v>Autônomo</v>
          </cell>
          <cell r="Q231">
            <v>0.15</v>
          </cell>
        </row>
        <row r="232">
          <cell r="L232" t="str">
            <v>MG</v>
          </cell>
          <cell r="M232" t="str">
            <v>Empregado CLT</v>
          </cell>
          <cell r="Q232" t="str">
            <v>Isento</v>
          </cell>
        </row>
        <row r="233">
          <cell r="L233" t="str">
            <v>PR</v>
          </cell>
          <cell r="M233" t="str">
            <v>Empresário</v>
          </cell>
          <cell r="Q233" t="str">
            <v>Isento</v>
          </cell>
        </row>
        <row r="234">
          <cell r="L234" t="str">
            <v>PE</v>
          </cell>
          <cell r="M234" t="str">
            <v>Aposentado</v>
          </cell>
          <cell r="Q234">
            <v>0.22500000000000001</v>
          </cell>
        </row>
        <row r="235">
          <cell r="L235" t="str">
            <v>SC</v>
          </cell>
          <cell r="M235" t="str">
            <v>Empresário</v>
          </cell>
          <cell r="Q235" t="str">
            <v>Isento</v>
          </cell>
        </row>
        <row r="236">
          <cell r="L236" t="str">
            <v>DF</v>
          </cell>
          <cell r="M236" t="str">
            <v>Investidor</v>
          </cell>
          <cell r="Q236">
            <v>0.22500000000000001</v>
          </cell>
        </row>
        <row r="237">
          <cell r="L237" t="str">
            <v>MG</v>
          </cell>
          <cell r="M237" t="str">
            <v>Aposentado</v>
          </cell>
          <cell r="Q237">
            <v>7.4999999999999997E-2</v>
          </cell>
        </row>
        <row r="238">
          <cell r="L238" t="str">
            <v>MT</v>
          </cell>
          <cell r="M238" t="str">
            <v>Investidor</v>
          </cell>
          <cell r="Q238" t="str">
            <v>Isento</v>
          </cell>
        </row>
        <row r="239">
          <cell r="L239" t="str">
            <v>MG</v>
          </cell>
          <cell r="M239" t="str">
            <v>Empresário</v>
          </cell>
          <cell r="Q239" t="str">
            <v>Isento</v>
          </cell>
        </row>
        <row r="240">
          <cell r="L240" t="str">
            <v>PR</v>
          </cell>
          <cell r="M240" t="str">
            <v>Aposentado</v>
          </cell>
          <cell r="Q240">
            <v>0.22500000000000001</v>
          </cell>
        </row>
        <row r="241">
          <cell r="L241" t="str">
            <v>MG</v>
          </cell>
          <cell r="M241" t="str">
            <v>Aposentado</v>
          </cell>
          <cell r="Q241">
            <v>0.15</v>
          </cell>
        </row>
        <row r="242">
          <cell r="L242" t="str">
            <v>PB</v>
          </cell>
          <cell r="M242" t="str">
            <v>Aposentado</v>
          </cell>
          <cell r="Q242">
            <v>0.15</v>
          </cell>
        </row>
        <row r="243">
          <cell r="L243" t="str">
            <v>GO</v>
          </cell>
          <cell r="M243" t="str">
            <v>Autônomo</v>
          </cell>
          <cell r="Q243">
            <v>0.15</v>
          </cell>
        </row>
        <row r="244">
          <cell r="L244" t="str">
            <v>BA</v>
          </cell>
          <cell r="M244" t="str">
            <v>Aposentado</v>
          </cell>
          <cell r="Q244">
            <v>0.22500000000000001</v>
          </cell>
        </row>
        <row r="245">
          <cell r="L245" t="str">
            <v>MT</v>
          </cell>
          <cell r="M245" t="str">
            <v>Empregado CLT</v>
          </cell>
          <cell r="Q245">
            <v>0.15</v>
          </cell>
        </row>
        <row r="246">
          <cell r="L246" t="str">
            <v>SC</v>
          </cell>
          <cell r="M246" t="str">
            <v>Investidor</v>
          </cell>
          <cell r="Q246">
            <v>0.15</v>
          </cell>
        </row>
        <row r="247">
          <cell r="L247" t="str">
            <v>PB</v>
          </cell>
          <cell r="M247" t="str">
            <v>Empresário</v>
          </cell>
          <cell r="Q247">
            <v>7.4999999999999997E-2</v>
          </cell>
        </row>
        <row r="248">
          <cell r="L248" t="str">
            <v>DF</v>
          </cell>
          <cell r="M248" t="str">
            <v>Empregado CLT</v>
          </cell>
          <cell r="Q248">
            <v>0.22500000000000001</v>
          </cell>
        </row>
        <row r="249">
          <cell r="L249" t="str">
            <v>MG</v>
          </cell>
          <cell r="M249" t="str">
            <v>Investidor</v>
          </cell>
          <cell r="Q249">
            <v>7.4999999999999997E-2</v>
          </cell>
        </row>
        <row r="250">
          <cell r="L250" t="str">
            <v>AM</v>
          </cell>
          <cell r="M250" t="str">
            <v>Autônomo</v>
          </cell>
          <cell r="Q250" t="str">
            <v>Isento</v>
          </cell>
        </row>
        <row r="251">
          <cell r="L251" t="str">
            <v>RJ</v>
          </cell>
          <cell r="M251" t="str">
            <v>Empregado CLT</v>
          </cell>
          <cell r="Q251">
            <v>0.15</v>
          </cell>
        </row>
        <row r="252">
          <cell r="L252" t="str">
            <v>PR</v>
          </cell>
          <cell r="M252" t="str">
            <v>Empresário</v>
          </cell>
          <cell r="Q252">
            <v>7.4999999999999997E-2</v>
          </cell>
        </row>
        <row r="253">
          <cell r="L253" t="str">
            <v>CE</v>
          </cell>
          <cell r="M253" t="str">
            <v>Empresário</v>
          </cell>
          <cell r="Q253">
            <v>7.4999999999999997E-2</v>
          </cell>
        </row>
        <row r="254">
          <cell r="L254" t="str">
            <v>PB</v>
          </cell>
          <cell r="M254" t="str">
            <v>Investidor</v>
          </cell>
          <cell r="Q254">
            <v>0.27500000000000002</v>
          </cell>
        </row>
        <row r="255">
          <cell r="L255" t="str">
            <v>ES</v>
          </cell>
          <cell r="M255" t="str">
            <v>Empregado CLT</v>
          </cell>
          <cell r="Q255">
            <v>0.15</v>
          </cell>
        </row>
        <row r="256">
          <cell r="L256" t="str">
            <v>BA</v>
          </cell>
          <cell r="M256" t="str">
            <v>Autônomo</v>
          </cell>
          <cell r="Q256">
            <v>0.15</v>
          </cell>
        </row>
        <row r="257">
          <cell r="L257" t="str">
            <v>AM</v>
          </cell>
          <cell r="M257" t="str">
            <v>Investidor</v>
          </cell>
          <cell r="Q257">
            <v>0.15</v>
          </cell>
        </row>
        <row r="258">
          <cell r="L258" t="str">
            <v>MG</v>
          </cell>
          <cell r="M258" t="str">
            <v>Aposentado</v>
          </cell>
          <cell r="Q258">
            <v>0.27500000000000002</v>
          </cell>
        </row>
        <row r="259">
          <cell r="L259" t="str">
            <v>DF</v>
          </cell>
          <cell r="M259" t="str">
            <v>Empregado CLT</v>
          </cell>
          <cell r="Q259">
            <v>7.4999999999999997E-2</v>
          </cell>
        </row>
        <row r="260">
          <cell r="L260" t="str">
            <v>AM</v>
          </cell>
          <cell r="M260" t="str">
            <v>Empresário</v>
          </cell>
          <cell r="Q260">
            <v>0.22500000000000001</v>
          </cell>
        </row>
        <row r="261">
          <cell r="L261" t="str">
            <v>RS</v>
          </cell>
          <cell r="M261" t="str">
            <v>Investidor</v>
          </cell>
          <cell r="Q261" t="str">
            <v>Isento</v>
          </cell>
        </row>
        <row r="262">
          <cell r="L262" t="str">
            <v>ES</v>
          </cell>
          <cell r="M262" t="str">
            <v>Empresário</v>
          </cell>
          <cell r="Q262">
            <v>0.22500000000000001</v>
          </cell>
        </row>
        <row r="263">
          <cell r="L263" t="str">
            <v>RS</v>
          </cell>
          <cell r="M263" t="str">
            <v>Aposentado</v>
          </cell>
          <cell r="Q263">
            <v>0.27500000000000002</v>
          </cell>
        </row>
        <row r="264">
          <cell r="L264" t="str">
            <v>MG</v>
          </cell>
          <cell r="M264" t="str">
            <v>Empregado CLT</v>
          </cell>
          <cell r="Q264">
            <v>7.4999999999999997E-2</v>
          </cell>
        </row>
        <row r="265">
          <cell r="L265" t="str">
            <v>PB</v>
          </cell>
          <cell r="M265" t="str">
            <v>Investidor</v>
          </cell>
          <cell r="Q265">
            <v>0.27500000000000002</v>
          </cell>
        </row>
        <row r="266">
          <cell r="L266" t="str">
            <v>SP</v>
          </cell>
          <cell r="M266" t="str">
            <v>Empresário</v>
          </cell>
          <cell r="Q266">
            <v>7.4999999999999997E-2</v>
          </cell>
        </row>
        <row r="267">
          <cell r="L267" t="str">
            <v>SC</v>
          </cell>
          <cell r="M267" t="str">
            <v>Aposentado</v>
          </cell>
          <cell r="Q267">
            <v>0.27500000000000002</v>
          </cell>
        </row>
        <row r="268">
          <cell r="L268" t="str">
            <v>ES</v>
          </cell>
          <cell r="M268" t="str">
            <v>Empresário</v>
          </cell>
          <cell r="Q268">
            <v>7.4999999999999997E-2</v>
          </cell>
        </row>
        <row r="269">
          <cell r="L269" t="str">
            <v>PB</v>
          </cell>
          <cell r="M269" t="str">
            <v>Investidor</v>
          </cell>
          <cell r="Q269">
            <v>7.4999999999999997E-2</v>
          </cell>
        </row>
        <row r="270">
          <cell r="L270" t="str">
            <v>MT</v>
          </cell>
          <cell r="M270" t="str">
            <v>Empresário</v>
          </cell>
          <cell r="Q270">
            <v>7.4999999999999997E-2</v>
          </cell>
        </row>
        <row r="271">
          <cell r="L271" t="str">
            <v>SP</v>
          </cell>
          <cell r="M271" t="str">
            <v>Empresário</v>
          </cell>
          <cell r="Q271">
            <v>0.22500000000000001</v>
          </cell>
        </row>
        <row r="272">
          <cell r="L272" t="str">
            <v>RJ</v>
          </cell>
          <cell r="M272" t="str">
            <v>Empresário</v>
          </cell>
          <cell r="Q272">
            <v>0.15</v>
          </cell>
        </row>
        <row r="273">
          <cell r="L273" t="str">
            <v>RS</v>
          </cell>
          <cell r="M273" t="str">
            <v>Empresário</v>
          </cell>
          <cell r="Q273">
            <v>7.4999999999999997E-2</v>
          </cell>
        </row>
        <row r="274">
          <cell r="L274" t="str">
            <v>CE</v>
          </cell>
          <cell r="M274" t="str">
            <v>Empresário</v>
          </cell>
          <cell r="Q274" t="str">
            <v>Isento</v>
          </cell>
        </row>
        <row r="275">
          <cell r="L275" t="str">
            <v>BA</v>
          </cell>
          <cell r="M275" t="str">
            <v>Investidor</v>
          </cell>
          <cell r="Q275">
            <v>0.15</v>
          </cell>
        </row>
        <row r="276">
          <cell r="L276" t="str">
            <v>DF</v>
          </cell>
          <cell r="M276" t="str">
            <v>Empresário</v>
          </cell>
          <cell r="Q276">
            <v>7.4999999999999997E-2</v>
          </cell>
        </row>
        <row r="277">
          <cell r="L277" t="str">
            <v>PB</v>
          </cell>
          <cell r="M277" t="str">
            <v>Empresário</v>
          </cell>
          <cell r="Q277">
            <v>0.22500000000000001</v>
          </cell>
        </row>
        <row r="278">
          <cell r="L278" t="str">
            <v>BA</v>
          </cell>
          <cell r="M278" t="str">
            <v>Autônomo</v>
          </cell>
          <cell r="Q278">
            <v>0.27500000000000002</v>
          </cell>
        </row>
        <row r="279">
          <cell r="L279" t="str">
            <v>DF</v>
          </cell>
          <cell r="M279" t="str">
            <v>Aposentado</v>
          </cell>
          <cell r="Q279">
            <v>0.15</v>
          </cell>
        </row>
        <row r="280">
          <cell r="L280" t="str">
            <v>PE</v>
          </cell>
          <cell r="M280" t="str">
            <v>Empresário</v>
          </cell>
          <cell r="Q280">
            <v>7.4999999999999997E-2</v>
          </cell>
        </row>
        <row r="281">
          <cell r="L281" t="str">
            <v>ES</v>
          </cell>
          <cell r="M281" t="str">
            <v>Aposentado</v>
          </cell>
          <cell r="Q281" t="str">
            <v>Isento</v>
          </cell>
        </row>
        <row r="282">
          <cell r="L282" t="str">
            <v>MT</v>
          </cell>
          <cell r="M282" t="str">
            <v>Aposentado</v>
          </cell>
          <cell r="Q282">
            <v>0.15</v>
          </cell>
        </row>
        <row r="283">
          <cell r="L283" t="str">
            <v>PB</v>
          </cell>
          <cell r="M283" t="str">
            <v>Empresário</v>
          </cell>
          <cell r="Q283">
            <v>0.22500000000000001</v>
          </cell>
        </row>
        <row r="284">
          <cell r="L284" t="str">
            <v>SC</v>
          </cell>
          <cell r="M284" t="str">
            <v>Investidor</v>
          </cell>
          <cell r="Q284" t="str">
            <v>Isento</v>
          </cell>
        </row>
        <row r="285">
          <cell r="L285" t="str">
            <v>MG</v>
          </cell>
          <cell r="M285" t="str">
            <v>Autônomo</v>
          </cell>
          <cell r="Q285">
            <v>0.27500000000000002</v>
          </cell>
        </row>
        <row r="286">
          <cell r="L286" t="str">
            <v>DF</v>
          </cell>
          <cell r="M286" t="str">
            <v>Empresário</v>
          </cell>
          <cell r="Q286">
            <v>7.4999999999999997E-2</v>
          </cell>
        </row>
        <row r="287">
          <cell r="L287" t="str">
            <v>PE</v>
          </cell>
          <cell r="M287" t="str">
            <v>Empresário</v>
          </cell>
          <cell r="Q287">
            <v>0.22500000000000001</v>
          </cell>
        </row>
        <row r="288">
          <cell r="L288" t="str">
            <v>AM</v>
          </cell>
          <cell r="M288" t="str">
            <v>Aposentado</v>
          </cell>
          <cell r="Q288">
            <v>0.15</v>
          </cell>
        </row>
        <row r="289">
          <cell r="L289" t="str">
            <v>GO</v>
          </cell>
          <cell r="M289" t="str">
            <v>Investidor</v>
          </cell>
          <cell r="Q289">
            <v>0.27500000000000002</v>
          </cell>
        </row>
        <row r="290">
          <cell r="L290" t="str">
            <v>MG</v>
          </cell>
          <cell r="M290" t="str">
            <v>Empregado CLT</v>
          </cell>
          <cell r="Q290">
            <v>0.27500000000000002</v>
          </cell>
        </row>
        <row r="291">
          <cell r="L291" t="str">
            <v>AM</v>
          </cell>
          <cell r="M291" t="str">
            <v>Aposentado</v>
          </cell>
          <cell r="Q291" t="str">
            <v>Isento</v>
          </cell>
        </row>
        <row r="292">
          <cell r="L292" t="str">
            <v>PR</v>
          </cell>
          <cell r="M292" t="str">
            <v>Empregado CLT</v>
          </cell>
          <cell r="Q292" t="str">
            <v>Isento</v>
          </cell>
        </row>
        <row r="293">
          <cell r="L293" t="str">
            <v>PB</v>
          </cell>
          <cell r="M293" t="str">
            <v>Investidor</v>
          </cell>
          <cell r="Q293">
            <v>0.27500000000000002</v>
          </cell>
        </row>
        <row r="294">
          <cell r="L294" t="str">
            <v>MT</v>
          </cell>
          <cell r="M294" t="str">
            <v>Empregado CLT</v>
          </cell>
          <cell r="Q294">
            <v>7.4999999999999997E-2</v>
          </cell>
        </row>
        <row r="295">
          <cell r="L295" t="str">
            <v>SP</v>
          </cell>
          <cell r="M295" t="str">
            <v>Aposentado</v>
          </cell>
          <cell r="Q295">
            <v>0.15</v>
          </cell>
        </row>
        <row r="296">
          <cell r="L296" t="str">
            <v>BA</v>
          </cell>
          <cell r="M296" t="str">
            <v>Aposentado</v>
          </cell>
          <cell r="Q296">
            <v>0.22500000000000001</v>
          </cell>
        </row>
        <row r="297">
          <cell r="L297" t="str">
            <v>ES</v>
          </cell>
          <cell r="M297" t="str">
            <v>Empresário</v>
          </cell>
          <cell r="Q297">
            <v>0.15</v>
          </cell>
        </row>
        <row r="298">
          <cell r="L298" t="str">
            <v>SP</v>
          </cell>
          <cell r="M298" t="str">
            <v>Empregado CLT</v>
          </cell>
          <cell r="Q298" t="str">
            <v>Isento</v>
          </cell>
        </row>
        <row r="299">
          <cell r="L299" t="str">
            <v>DF</v>
          </cell>
          <cell r="M299" t="str">
            <v>Aposentado</v>
          </cell>
          <cell r="Q299">
            <v>0.22500000000000001</v>
          </cell>
        </row>
        <row r="300">
          <cell r="L300" t="str">
            <v>AM</v>
          </cell>
          <cell r="M300" t="str">
            <v>Empregado CLT</v>
          </cell>
          <cell r="Q300">
            <v>0.15</v>
          </cell>
        </row>
        <row r="301">
          <cell r="L301" t="str">
            <v>PR</v>
          </cell>
          <cell r="M301" t="str">
            <v>Aposentado</v>
          </cell>
          <cell r="Q301" t="str">
            <v>Isento</v>
          </cell>
        </row>
      </sheetData>
      <sheetData sheetId="1"/>
    </sheetDataSet>
  </externalBook>
</externalLink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ÇÃO" xr10:uid="{0191420D-4B70-4B93-BF84-2CAA3A4C85E9}" sourceName="AÇÃO">
  <extLst>
    <x:ext xmlns:x15="http://schemas.microsoft.com/office/spreadsheetml/2010/11/main" uri="{2F2917AC-EB37-4324-AD4E-5DD8C200BD13}">
      <x15:tableSlicerCache tableId="1" column="3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ÇÃO" xr10:uid="{04159B62-BB6F-4316-9E2F-1DE84BDFFF7F}" cache="SegmentaçãodeDados_AÇÃO" caption="AÇÃO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198EE0-1B80-48A9-9C63-AC25445F9648}" name="Tabela1" displayName="Tabela1" ref="A12:F39" totalsRowShown="0" headerRowDxfId="15" dataDxfId="14">
  <autoFilter ref="A12:F39" xr:uid="{03198EE0-1B80-48A9-9C63-AC25445F9648}"/>
  <tableColumns count="6">
    <tableColumn id="1" xr3:uid="{1674E395-072F-46B8-B134-343E89276330}" name="ID OPERAÇÃO" dataDxfId="13"/>
    <tableColumn id="2" xr3:uid="{7FC5F597-FBCB-4CD9-848C-0E7F8F144CD4}" name="DATA OPERAÇÃO" dataDxfId="12"/>
    <tableColumn id="3" xr3:uid="{EBEAB3FB-0788-4B54-9A73-BAAE06493178}" name="AÇÃO" dataDxfId="11"/>
    <tableColumn id="4" xr3:uid="{FBC30926-7338-4090-B8D6-F4D847287121}" name="QUANTIDADE COMPRADA" dataDxfId="10"/>
    <tableColumn id="5" xr3:uid="{CC1A84F0-74B8-44B9-B6DD-1A362AE5D004}" name="VALOR PAGO POR AÇÃO" dataDxfId="9"/>
    <tableColumn id="6" xr3:uid="{EFDBEC6A-23E6-4EF4-BD84-C337D5038BF6}" name="TOTAL" dataDxfId="8">
      <calculatedColumnFormula>Tabela1[[#This Row],[QUANTIDADE COMPRADA]]*Tabela1[[#This Row],[VALOR PAGO POR AÇÃO]]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22DAE9-F904-4B1E-A8AA-04375C71F1FE}" name="Tabela13" displayName="Tabela13" ref="A30:B33" totalsRowShown="0">
  <autoFilter ref="A30:B33" xr:uid="{FA24F809-E7DF-4400-B9F5-1C360D29F49C}"/>
  <tableColumns count="2">
    <tableColumn id="1" xr3:uid="{DD615CAC-EB5A-413B-BEFB-6DA80D2376BF}" name="De"/>
    <tableColumn id="2" xr3:uid="{8D28A3B2-5319-4A9F-AB63-9E187172CC3A}" name="Pa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11AD2-AB1D-42FB-9B10-9E33E1F1A74D}">
  <dimension ref="B6:H12"/>
  <sheetViews>
    <sheetView workbookViewId="0">
      <selection activeCell="C28" sqref="C28"/>
    </sheetView>
  </sheetViews>
  <sheetFormatPr defaultRowHeight="15" x14ac:dyDescent="0.25"/>
  <cols>
    <col min="4" max="4" width="15.140625" customWidth="1"/>
    <col min="6" max="6" width="6" customWidth="1"/>
    <col min="7" max="7" width="20.7109375" bestFit="1" customWidth="1"/>
  </cols>
  <sheetData>
    <row r="6" spans="2:8" x14ac:dyDescent="0.25">
      <c r="B6" s="1"/>
      <c r="C6" s="1"/>
      <c r="D6" s="1"/>
      <c r="E6" s="1"/>
      <c r="F6" s="1"/>
    </row>
    <row r="7" spans="2:8" x14ac:dyDescent="0.25">
      <c r="B7" s="1"/>
      <c r="C7" s="1" t="s">
        <v>3</v>
      </c>
      <c r="D7" s="1" t="s">
        <v>1</v>
      </c>
      <c r="E7" s="1">
        <v>1</v>
      </c>
      <c r="F7" s="1"/>
      <c r="G7" t="s">
        <v>8</v>
      </c>
      <c r="H7">
        <f>COUNTA(D7:D11)</f>
        <v>5</v>
      </c>
    </row>
    <row r="8" spans="2:8" x14ac:dyDescent="0.25">
      <c r="B8" s="1"/>
      <c r="C8" s="1" t="s">
        <v>4</v>
      </c>
      <c r="D8" s="1" t="s">
        <v>0</v>
      </c>
      <c r="E8" s="1">
        <v>2</v>
      </c>
      <c r="F8" s="1"/>
      <c r="G8" t="s">
        <v>9</v>
      </c>
      <c r="H8">
        <f>COUNTIF(D7:D11,"FEITO")</f>
        <v>3</v>
      </c>
    </row>
    <row r="9" spans="2:8" x14ac:dyDescent="0.25">
      <c r="B9" s="1"/>
      <c r="C9" s="1" t="s">
        <v>5</v>
      </c>
      <c r="D9" s="1" t="s">
        <v>1</v>
      </c>
      <c r="E9" s="1">
        <v>3</v>
      </c>
      <c r="F9" s="1"/>
    </row>
    <row r="10" spans="2:8" x14ac:dyDescent="0.25">
      <c r="B10" s="1"/>
      <c r="C10" s="1" t="s">
        <v>6</v>
      </c>
      <c r="D10" s="1" t="s">
        <v>2</v>
      </c>
      <c r="E10" s="1">
        <v>1</v>
      </c>
      <c r="F10" s="1"/>
    </row>
    <row r="11" spans="2:8" x14ac:dyDescent="0.25">
      <c r="B11" s="1"/>
      <c r="C11" s="1" t="s">
        <v>7</v>
      </c>
      <c r="D11" s="1" t="s">
        <v>1</v>
      </c>
      <c r="E11" s="1">
        <v>2</v>
      </c>
      <c r="F11" s="1"/>
    </row>
    <row r="12" spans="2:8" x14ac:dyDescent="0.25">
      <c r="B12" s="1"/>
      <c r="C12" s="1"/>
      <c r="D12" s="1"/>
      <c r="E12" s="1"/>
      <c r="F12" s="1"/>
    </row>
  </sheetData>
  <conditionalFormatting sqref="D7:D11">
    <cfRule type="expression" dxfId="7" priority="2">
      <formula>D7:D11="INICIAR"</formula>
    </cfRule>
    <cfRule type="expression" dxfId="6" priority="3">
      <formula>D7:D11="EM PROGRESSO"</formula>
    </cfRule>
    <cfRule type="expression" dxfId="5" priority="4">
      <formula>D7:D11="FEITO"</formula>
    </cfRule>
  </conditionalFormatting>
  <dataValidations count="1">
    <dataValidation type="list" allowBlank="1" showInputMessage="1" showErrorMessage="1" sqref="D7:D11" xr:uid="{A6E0C313-D352-4066-BCBF-EA836ABA0F2D}">
      <formula1>"FEITO, EM PROGRESSO,INICIAR"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3A5E7DB1-92FD-497C-85E1-3466759620F2}">
            <x14:iconSet iconSet="4Rating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NoIcons" iconId="0"/>
              <x14:cfIcon iconSet="3Stars" iconId="0"/>
              <x14:cfIcon iconSet="3Stars" iconId="1"/>
              <x14:cfIcon iconSet="3Stars" iconId="2"/>
            </x14:iconSet>
          </x14:cfRule>
          <xm:sqref>E7:E11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EE9D9-F7EE-4EB3-A07E-C7A22C87DA07}">
  <dimension ref="A11:F99"/>
  <sheetViews>
    <sheetView topLeftCell="A85" workbookViewId="0">
      <selection activeCell="A99" sqref="A99"/>
    </sheetView>
  </sheetViews>
  <sheetFormatPr defaultRowHeight="15" x14ac:dyDescent="0.25"/>
  <cols>
    <col min="1" max="1" width="15.28515625" style="4" customWidth="1"/>
    <col min="2" max="2" width="18.28515625" style="4" customWidth="1"/>
    <col min="3" max="3" width="13.7109375" style="4" bestFit="1" customWidth="1"/>
    <col min="4" max="4" width="26.140625" style="4" customWidth="1"/>
    <col min="5" max="5" width="24.5703125" style="4" customWidth="1"/>
    <col min="6" max="6" width="11.42578125" style="2" bestFit="1" customWidth="1"/>
    <col min="7" max="29" width="10.7109375" bestFit="1" customWidth="1"/>
    <col min="30" max="30" width="10.7109375" customWidth="1"/>
  </cols>
  <sheetData>
    <row r="11" spans="1:6" x14ac:dyDescent="0.25">
      <c r="B11" s="4" t="s">
        <v>17</v>
      </c>
      <c r="C11" s="4" t="s">
        <v>17</v>
      </c>
      <c r="D11" s="4" t="s">
        <v>17</v>
      </c>
      <c r="E11" s="4" t="s">
        <v>16</v>
      </c>
      <c r="F11" s="2" t="s">
        <v>20</v>
      </c>
    </row>
    <row r="12" spans="1:6" x14ac:dyDescent="0.25">
      <c r="A12" s="6" t="s">
        <v>21</v>
      </c>
      <c r="B12" s="6" t="s">
        <v>10</v>
      </c>
      <c r="C12" s="6" t="s">
        <v>13</v>
      </c>
      <c r="D12" s="6" t="s">
        <v>11</v>
      </c>
      <c r="E12" s="6" t="s">
        <v>12</v>
      </c>
      <c r="F12" s="8" t="s">
        <v>19</v>
      </c>
    </row>
    <row r="13" spans="1:6" x14ac:dyDescent="0.25">
      <c r="A13" s="4" t="s">
        <v>22</v>
      </c>
      <c r="B13" s="7">
        <v>45708</v>
      </c>
      <c r="C13" s="4" t="s">
        <v>14</v>
      </c>
      <c r="D13" s="3">
        <v>1</v>
      </c>
      <c r="E13" s="5">
        <v>10.92</v>
      </c>
      <c r="F13" s="2">
        <f>Tabela1[[#This Row],[QUANTIDADE COMPRADA]]*Tabela1[[#This Row],[VALOR PAGO POR AÇÃO]]</f>
        <v>10.92</v>
      </c>
    </row>
    <row r="14" spans="1:6" x14ac:dyDescent="0.25">
      <c r="A14" s="4" t="s">
        <v>23</v>
      </c>
      <c r="B14" s="7">
        <v>45709</v>
      </c>
      <c r="C14" s="4" t="s">
        <v>18</v>
      </c>
      <c r="D14" s="3">
        <v>2</v>
      </c>
      <c r="E14" s="5">
        <v>10.97</v>
      </c>
      <c r="F14" s="2">
        <f>Tabela1[[#This Row],[QUANTIDADE COMPRADA]]*Tabela1[[#This Row],[VALOR PAGO POR AÇÃO]]</f>
        <v>21.94</v>
      </c>
    </row>
    <row r="15" spans="1:6" x14ac:dyDescent="0.25">
      <c r="A15" s="4" t="s">
        <v>24</v>
      </c>
      <c r="B15" s="7">
        <v>45710</v>
      </c>
      <c r="C15" s="4" t="s">
        <v>15</v>
      </c>
      <c r="D15" s="3">
        <v>1</v>
      </c>
      <c r="E15" s="5">
        <v>10.91</v>
      </c>
      <c r="F15" s="2">
        <f>Tabela1[[#This Row],[QUANTIDADE COMPRADA]]*Tabela1[[#This Row],[VALOR PAGO POR AÇÃO]]</f>
        <v>10.91</v>
      </c>
    </row>
    <row r="16" spans="1:6" x14ac:dyDescent="0.25">
      <c r="A16" s="4" t="s">
        <v>25</v>
      </c>
      <c r="B16" s="7">
        <v>45711</v>
      </c>
      <c r="C16" s="4" t="s">
        <v>14</v>
      </c>
      <c r="D16" s="3">
        <v>1</v>
      </c>
      <c r="E16" s="5">
        <v>18</v>
      </c>
      <c r="F16" s="2">
        <f>Tabela1[[#This Row],[QUANTIDADE COMPRADA]]*Tabela1[[#This Row],[VALOR PAGO POR AÇÃO]]</f>
        <v>18</v>
      </c>
    </row>
    <row r="17" spans="1:6" x14ac:dyDescent="0.25">
      <c r="A17" s="4" t="s">
        <v>26</v>
      </c>
      <c r="B17" s="7">
        <v>45712</v>
      </c>
      <c r="C17" s="4" t="s">
        <v>18</v>
      </c>
      <c r="D17" s="3">
        <v>2</v>
      </c>
      <c r="E17" s="5">
        <v>13</v>
      </c>
      <c r="F17" s="2">
        <f>Tabela1[[#This Row],[QUANTIDADE COMPRADA]]*Tabela1[[#This Row],[VALOR PAGO POR AÇÃO]]</f>
        <v>26</v>
      </c>
    </row>
    <row r="18" spans="1:6" x14ac:dyDescent="0.25">
      <c r="A18" s="4" t="s">
        <v>27</v>
      </c>
      <c r="B18" s="7">
        <v>45713</v>
      </c>
      <c r="C18" s="4" t="s">
        <v>14</v>
      </c>
      <c r="D18" s="3">
        <v>3</v>
      </c>
      <c r="E18" s="5">
        <v>16</v>
      </c>
      <c r="F18" s="2">
        <f>Tabela1[[#This Row],[QUANTIDADE COMPRADA]]*Tabela1[[#This Row],[VALOR PAGO POR AÇÃO]]</f>
        <v>48</v>
      </c>
    </row>
    <row r="19" spans="1:6" x14ac:dyDescent="0.25">
      <c r="A19" s="4" t="s">
        <v>28</v>
      </c>
      <c r="B19" s="7">
        <v>45714</v>
      </c>
      <c r="C19" s="4" t="s">
        <v>18</v>
      </c>
      <c r="D19" s="3">
        <v>3</v>
      </c>
      <c r="E19" s="5">
        <v>17</v>
      </c>
      <c r="F19" s="2">
        <f>Tabela1[[#This Row],[QUANTIDADE COMPRADA]]*Tabela1[[#This Row],[VALOR PAGO POR AÇÃO]]</f>
        <v>51</v>
      </c>
    </row>
    <row r="20" spans="1:6" x14ac:dyDescent="0.25">
      <c r="A20" s="4" t="s">
        <v>29</v>
      </c>
      <c r="B20" s="7">
        <v>45715</v>
      </c>
      <c r="C20" s="4" t="s">
        <v>18</v>
      </c>
      <c r="D20" s="3">
        <v>2</v>
      </c>
      <c r="E20" s="5">
        <v>15</v>
      </c>
      <c r="F20" s="2">
        <f>Tabela1[[#This Row],[QUANTIDADE COMPRADA]]*Tabela1[[#This Row],[VALOR PAGO POR AÇÃO]]</f>
        <v>30</v>
      </c>
    </row>
    <row r="21" spans="1:6" x14ac:dyDescent="0.25">
      <c r="A21" s="4" t="s">
        <v>30</v>
      </c>
      <c r="B21" s="7">
        <v>45716</v>
      </c>
      <c r="C21" s="4" t="s">
        <v>15</v>
      </c>
      <c r="D21" s="3">
        <v>1</v>
      </c>
      <c r="E21" s="5">
        <v>18</v>
      </c>
      <c r="F21" s="2">
        <f>Tabela1[[#This Row],[QUANTIDADE COMPRADA]]*Tabela1[[#This Row],[VALOR PAGO POR AÇÃO]]</f>
        <v>18</v>
      </c>
    </row>
    <row r="22" spans="1:6" x14ac:dyDescent="0.25">
      <c r="A22" s="4" t="s">
        <v>31</v>
      </c>
      <c r="B22" s="7">
        <v>45717</v>
      </c>
      <c r="C22" s="4" t="s">
        <v>18</v>
      </c>
      <c r="D22" s="3">
        <v>1</v>
      </c>
      <c r="E22" s="5">
        <v>16</v>
      </c>
      <c r="F22" s="2">
        <f>Tabela1[[#This Row],[QUANTIDADE COMPRADA]]*Tabela1[[#This Row],[VALOR PAGO POR AÇÃO]]</f>
        <v>16</v>
      </c>
    </row>
    <row r="23" spans="1:6" x14ac:dyDescent="0.25">
      <c r="A23" s="4" t="s">
        <v>32</v>
      </c>
      <c r="B23" s="7">
        <v>45718</v>
      </c>
      <c r="C23" s="4" t="s">
        <v>18</v>
      </c>
      <c r="D23" s="3">
        <v>3</v>
      </c>
      <c r="E23" s="5">
        <v>11</v>
      </c>
      <c r="F23" s="2">
        <f>Tabela1[[#This Row],[QUANTIDADE COMPRADA]]*Tabela1[[#This Row],[VALOR PAGO POR AÇÃO]]</f>
        <v>33</v>
      </c>
    </row>
    <row r="24" spans="1:6" x14ac:dyDescent="0.25">
      <c r="A24" s="4" t="s">
        <v>33</v>
      </c>
      <c r="B24" s="7">
        <v>45719</v>
      </c>
      <c r="C24" s="4" t="s">
        <v>18</v>
      </c>
      <c r="D24" s="3">
        <v>3</v>
      </c>
      <c r="E24" s="5">
        <v>14</v>
      </c>
      <c r="F24" s="2">
        <f>Tabela1[[#This Row],[QUANTIDADE COMPRADA]]*Tabela1[[#This Row],[VALOR PAGO POR AÇÃO]]</f>
        <v>42</v>
      </c>
    </row>
    <row r="25" spans="1:6" x14ac:dyDescent="0.25">
      <c r="A25" s="4" t="s">
        <v>34</v>
      </c>
      <c r="B25" s="7">
        <v>45720</v>
      </c>
      <c r="C25" s="4" t="s">
        <v>15</v>
      </c>
      <c r="D25" s="3">
        <v>3</v>
      </c>
      <c r="E25" s="5">
        <v>10</v>
      </c>
      <c r="F25" s="2">
        <f>Tabela1[[#This Row],[QUANTIDADE COMPRADA]]*Tabela1[[#This Row],[VALOR PAGO POR AÇÃO]]</f>
        <v>30</v>
      </c>
    </row>
    <row r="26" spans="1:6" x14ac:dyDescent="0.25">
      <c r="A26" s="4" t="s">
        <v>35</v>
      </c>
      <c r="B26" s="7">
        <v>45721</v>
      </c>
      <c r="C26" s="4" t="s">
        <v>18</v>
      </c>
      <c r="D26" s="3">
        <v>2</v>
      </c>
      <c r="E26" s="5">
        <v>13</v>
      </c>
      <c r="F26" s="2">
        <f>Tabela1[[#This Row],[QUANTIDADE COMPRADA]]*Tabela1[[#This Row],[VALOR PAGO POR AÇÃO]]</f>
        <v>26</v>
      </c>
    </row>
    <row r="27" spans="1:6" x14ac:dyDescent="0.25">
      <c r="A27" s="4" t="s">
        <v>36</v>
      </c>
      <c r="B27" s="7">
        <v>45722</v>
      </c>
      <c r="C27" s="4" t="s">
        <v>18</v>
      </c>
      <c r="D27" s="3">
        <v>3</v>
      </c>
      <c r="E27" s="5">
        <v>18</v>
      </c>
      <c r="F27" s="2">
        <f>Tabela1[[#This Row],[QUANTIDADE COMPRADA]]*Tabela1[[#This Row],[VALOR PAGO POR AÇÃO]]</f>
        <v>54</v>
      </c>
    </row>
    <row r="28" spans="1:6" x14ac:dyDescent="0.25">
      <c r="A28" s="4" t="s">
        <v>37</v>
      </c>
      <c r="B28" s="7">
        <v>45723</v>
      </c>
      <c r="C28" s="4" t="s">
        <v>14</v>
      </c>
      <c r="D28" s="3">
        <v>3</v>
      </c>
      <c r="E28" s="5">
        <v>19</v>
      </c>
      <c r="F28" s="2">
        <f>Tabela1[[#This Row],[QUANTIDADE COMPRADA]]*Tabela1[[#This Row],[VALOR PAGO POR AÇÃO]]</f>
        <v>57</v>
      </c>
    </row>
    <row r="29" spans="1:6" x14ac:dyDescent="0.25">
      <c r="A29" s="4" t="s">
        <v>38</v>
      </c>
      <c r="B29" s="7">
        <v>45724</v>
      </c>
      <c r="C29" s="4" t="s">
        <v>14</v>
      </c>
      <c r="D29" s="3">
        <v>2</v>
      </c>
      <c r="E29" s="5">
        <v>10</v>
      </c>
      <c r="F29" s="2">
        <f>Tabela1[[#This Row],[QUANTIDADE COMPRADA]]*Tabela1[[#This Row],[VALOR PAGO POR AÇÃO]]</f>
        <v>20</v>
      </c>
    </row>
    <row r="30" spans="1:6" x14ac:dyDescent="0.25">
      <c r="A30" s="4" t="s">
        <v>39</v>
      </c>
      <c r="B30" s="7">
        <v>45725</v>
      </c>
      <c r="C30" s="4" t="s">
        <v>14</v>
      </c>
      <c r="D30" s="3">
        <v>3</v>
      </c>
      <c r="E30" s="5">
        <v>12</v>
      </c>
      <c r="F30" s="2">
        <f>Tabela1[[#This Row],[QUANTIDADE COMPRADA]]*Tabela1[[#This Row],[VALOR PAGO POR AÇÃO]]</f>
        <v>36</v>
      </c>
    </row>
    <row r="31" spans="1:6" x14ac:dyDescent="0.25">
      <c r="A31" s="4" t="s">
        <v>40</v>
      </c>
      <c r="B31" s="7">
        <v>45726</v>
      </c>
      <c r="C31" s="4" t="s">
        <v>15</v>
      </c>
      <c r="D31" s="3">
        <v>1</v>
      </c>
      <c r="E31" s="5">
        <v>19</v>
      </c>
      <c r="F31" s="2">
        <f>Tabela1[[#This Row],[QUANTIDADE COMPRADA]]*Tabela1[[#This Row],[VALOR PAGO POR AÇÃO]]</f>
        <v>19</v>
      </c>
    </row>
    <row r="32" spans="1:6" x14ac:dyDescent="0.25">
      <c r="A32" s="4" t="s">
        <v>41</v>
      </c>
      <c r="B32" s="7">
        <v>45727</v>
      </c>
      <c r="C32" s="4" t="s">
        <v>14</v>
      </c>
      <c r="D32" s="3">
        <v>3</v>
      </c>
      <c r="E32" s="5">
        <v>11</v>
      </c>
      <c r="F32" s="2">
        <f>Tabela1[[#This Row],[QUANTIDADE COMPRADA]]*Tabela1[[#This Row],[VALOR PAGO POR AÇÃO]]</f>
        <v>33</v>
      </c>
    </row>
    <row r="33" spans="1:6" x14ac:dyDescent="0.25">
      <c r="A33" s="4" t="s">
        <v>42</v>
      </c>
      <c r="B33" s="7">
        <v>45728</v>
      </c>
      <c r="C33" s="4" t="s">
        <v>14</v>
      </c>
      <c r="D33" s="3">
        <v>1</v>
      </c>
      <c r="E33" s="5">
        <v>19</v>
      </c>
      <c r="F33" s="2">
        <f>Tabela1[[#This Row],[QUANTIDADE COMPRADA]]*Tabela1[[#This Row],[VALOR PAGO POR AÇÃO]]</f>
        <v>19</v>
      </c>
    </row>
    <row r="34" spans="1:6" x14ac:dyDescent="0.25">
      <c r="A34" s="4" t="s">
        <v>43</v>
      </c>
      <c r="B34" s="7">
        <v>45729</v>
      </c>
      <c r="C34" s="4" t="s">
        <v>14</v>
      </c>
      <c r="D34" s="3">
        <v>1</v>
      </c>
      <c r="E34" s="5">
        <v>17</v>
      </c>
      <c r="F34" s="2">
        <f>Tabela1[[#This Row],[QUANTIDADE COMPRADA]]*Tabela1[[#This Row],[VALOR PAGO POR AÇÃO]]</f>
        <v>17</v>
      </c>
    </row>
    <row r="35" spans="1:6" x14ac:dyDescent="0.25">
      <c r="A35" s="4" t="s">
        <v>44</v>
      </c>
      <c r="B35" s="7">
        <v>45730</v>
      </c>
      <c r="C35" s="4" t="s">
        <v>14</v>
      </c>
      <c r="D35" s="3">
        <v>2</v>
      </c>
      <c r="E35" s="5">
        <v>9</v>
      </c>
      <c r="F35" s="2">
        <f>Tabela1[[#This Row],[QUANTIDADE COMPRADA]]*Tabela1[[#This Row],[VALOR PAGO POR AÇÃO]]</f>
        <v>18</v>
      </c>
    </row>
    <row r="36" spans="1:6" x14ac:dyDescent="0.25">
      <c r="A36" s="4" t="s">
        <v>45</v>
      </c>
      <c r="B36" s="7">
        <v>45731</v>
      </c>
      <c r="C36" s="4" t="s">
        <v>18</v>
      </c>
      <c r="D36" s="3">
        <v>1</v>
      </c>
      <c r="E36" s="5">
        <v>12</v>
      </c>
      <c r="F36" s="2">
        <f>Tabela1[[#This Row],[QUANTIDADE COMPRADA]]*Tabela1[[#This Row],[VALOR PAGO POR AÇÃO]]</f>
        <v>12</v>
      </c>
    </row>
    <row r="37" spans="1:6" x14ac:dyDescent="0.25">
      <c r="A37" s="4" t="s">
        <v>46</v>
      </c>
      <c r="B37" s="7">
        <v>45732</v>
      </c>
      <c r="C37" s="4" t="s">
        <v>14</v>
      </c>
      <c r="D37" s="3">
        <v>2</v>
      </c>
      <c r="E37" s="5">
        <v>14</v>
      </c>
      <c r="F37" s="2">
        <f>Tabela1[[#This Row],[QUANTIDADE COMPRADA]]*Tabela1[[#This Row],[VALOR PAGO POR AÇÃO]]</f>
        <v>28</v>
      </c>
    </row>
    <row r="38" spans="1:6" x14ac:dyDescent="0.25">
      <c r="A38" s="4" t="s">
        <v>47</v>
      </c>
      <c r="B38" s="7">
        <v>45733</v>
      </c>
      <c r="C38" s="4" t="s">
        <v>18</v>
      </c>
      <c r="D38" s="3">
        <v>1</v>
      </c>
      <c r="E38" s="5">
        <v>15</v>
      </c>
      <c r="F38" s="2">
        <f>Tabela1[[#This Row],[QUANTIDADE COMPRADA]]*Tabela1[[#This Row],[VALOR PAGO POR AÇÃO]]</f>
        <v>15</v>
      </c>
    </row>
    <row r="39" spans="1:6" x14ac:dyDescent="0.25">
      <c r="A39" s="4" t="s">
        <v>48</v>
      </c>
      <c r="B39" s="7">
        <v>45734</v>
      </c>
      <c r="C39" s="4" t="s">
        <v>15</v>
      </c>
      <c r="D39" s="3">
        <v>3</v>
      </c>
      <c r="E39" s="5">
        <v>12.58</v>
      </c>
      <c r="F39" s="2">
        <f>Tabela1[[#This Row],[QUANTIDADE COMPRADA]]*Tabela1[[#This Row],[VALOR PAGO POR AÇÃO]]</f>
        <v>37.74</v>
      </c>
    </row>
    <row r="40" spans="1:6" x14ac:dyDescent="0.25">
      <c r="B40" s="7"/>
      <c r="D40" s="3"/>
      <c r="E40" s="5"/>
    </row>
    <row r="41" spans="1:6" x14ac:dyDescent="0.25">
      <c r="A41" s="10" t="s">
        <v>49</v>
      </c>
      <c r="B41" s="10"/>
      <c r="C41" s="10"/>
      <c r="D41" s="10"/>
      <c r="E41" s="10"/>
      <c r="F41" s="10"/>
    </row>
    <row r="42" spans="1:6" x14ac:dyDescent="0.25">
      <c r="B42" s="7"/>
      <c r="D42" s="3"/>
      <c r="E42" s="5"/>
    </row>
    <row r="43" spans="1:6" x14ac:dyDescent="0.25">
      <c r="B43" s="7"/>
      <c r="D43" s="3"/>
      <c r="E43" s="5"/>
    </row>
    <row r="76" spans="1:6" x14ac:dyDescent="0.25">
      <c r="A76" s="10" t="s">
        <v>50</v>
      </c>
      <c r="B76" s="10"/>
      <c r="C76" s="10"/>
      <c r="D76" s="10"/>
      <c r="E76" s="10"/>
      <c r="F76" s="10"/>
    </row>
    <row r="77" spans="1:6" x14ac:dyDescent="0.25">
      <c r="A77" s="10" t="s">
        <v>51</v>
      </c>
      <c r="B77" s="10"/>
      <c r="C77" s="10"/>
      <c r="D77" s="10"/>
      <c r="E77" s="10"/>
      <c r="F77" s="10"/>
    </row>
    <row r="99" spans="1:2" x14ac:dyDescent="0.25">
      <c r="A99" s="4" t="s">
        <v>52</v>
      </c>
      <c r="B99" s="4" t="s">
        <v>53</v>
      </c>
    </row>
  </sheetData>
  <mergeCells count="3">
    <mergeCell ref="A41:F41"/>
    <mergeCell ref="A76:F76"/>
    <mergeCell ref="A77:F77"/>
  </mergeCells>
  <phoneticPr fontId="2" type="noConversion"/>
  <dataValidations count="1">
    <dataValidation type="list" allowBlank="1" showInputMessage="1" showErrorMessage="1" sqref="C13:C39" xr:uid="{2B4B317C-3E36-4400-A39A-608ACF82D930}">
      <formula1>"AAPL34,ATVI34,NVDC34"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005C9-9876-415A-A707-1F237E63CD27}">
  <dimension ref="A1:F33"/>
  <sheetViews>
    <sheetView workbookViewId="0">
      <selection activeCell="D33" sqref="D33"/>
    </sheetView>
  </sheetViews>
  <sheetFormatPr defaultRowHeight="15" x14ac:dyDescent="0.25"/>
  <cols>
    <col min="1" max="1" width="5.5703125" bestFit="1" customWidth="1"/>
    <col min="2" max="2" width="12.7109375" bestFit="1" customWidth="1"/>
    <col min="3" max="3" width="21.140625" bestFit="1" customWidth="1"/>
    <col min="4" max="5" width="21.140625" customWidth="1"/>
    <col min="6" max="6" width="19.140625" bestFit="1" customWidth="1"/>
  </cols>
  <sheetData>
    <row r="1" spans="1:6" x14ac:dyDescent="0.25">
      <c r="A1" s="15" t="s">
        <v>64</v>
      </c>
      <c r="B1" s="15" t="s">
        <v>63</v>
      </c>
      <c r="C1" s="15" t="s">
        <v>62</v>
      </c>
      <c r="D1" s="15"/>
      <c r="E1" s="15" t="s">
        <v>62</v>
      </c>
      <c r="F1" s="15" t="s">
        <v>61</v>
      </c>
    </row>
    <row r="2" spans="1:6" x14ac:dyDescent="0.25">
      <c r="A2" s="3">
        <v>1</v>
      </c>
      <c r="B2" s="14">
        <v>141958</v>
      </c>
      <c r="C2" t="s">
        <v>57</v>
      </c>
      <c r="D2" t="str">
        <f>VLOOKUP(C2,Tabela13[#All],2,FALSE)</f>
        <v>CLT</v>
      </c>
      <c r="E2" t="s">
        <v>57</v>
      </c>
      <c r="F2">
        <v>28.56</v>
      </c>
    </row>
    <row r="3" spans="1:6" x14ac:dyDescent="0.25">
      <c r="A3" s="3">
        <v>2</v>
      </c>
      <c r="B3" s="14">
        <v>35795</v>
      </c>
      <c r="C3" t="s">
        <v>60</v>
      </c>
      <c r="D3" t="str">
        <f>VLOOKUP(C3,Tabela13[#All],2,FALSE)</f>
        <v>Autônomo</v>
      </c>
      <c r="E3" t="s">
        <v>54</v>
      </c>
      <c r="F3">
        <v>10.99</v>
      </c>
    </row>
    <row r="4" spans="1:6" x14ac:dyDescent="0.25">
      <c r="A4" s="3">
        <v>3</v>
      </c>
      <c r="B4" s="14">
        <v>20860</v>
      </c>
      <c r="C4" t="s">
        <v>57</v>
      </c>
      <c r="D4" t="str">
        <f>VLOOKUP(C4,Tabela13[#All],2,FALSE)</f>
        <v>CLT</v>
      </c>
      <c r="E4" t="s">
        <v>57</v>
      </c>
      <c r="F4">
        <v>20.43</v>
      </c>
    </row>
    <row r="5" spans="1:6" x14ac:dyDescent="0.25">
      <c r="A5" s="3">
        <v>4</v>
      </c>
      <c r="B5" s="14">
        <v>123694</v>
      </c>
      <c r="C5" t="s">
        <v>57</v>
      </c>
      <c r="D5" t="str">
        <f>VLOOKUP(C5,Tabela13[#All],2,FALSE)</f>
        <v>CLT</v>
      </c>
      <c r="E5" t="s">
        <v>57</v>
      </c>
      <c r="F5">
        <v>22.77</v>
      </c>
    </row>
    <row r="6" spans="1:6" x14ac:dyDescent="0.25">
      <c r="A6" s="3">
        <v>5</v>
      </c>
      <c r="B6" s="14">
        <v>148106</v>
      </c>
      <c r="C6" t="s">
        <v>57</v>
      </c>
      <c r="D6" t="str">
        <f>VLOOKUP(C6,Tabela13[#All],2,FALSE)</f>
        <v>CLT</v>
      </c>
      <c r="E6" t="s">
        <v>57</v>
      </c>
      <c r="F6">
        <v>6.39</v>
      </c>
    </row>
    <row r="7" spans="1:6" x14ac:dyDescent="0.25">
      <c r="A7" s="3">
        <v>6</v>
      </c>
      <c r="B7" s="14">
        <v>139879</v>
      </c>
      <c r="C7" t="s">
        <v>57</v>
      </c>
      <c r="D7" t="str">
        <f>VLOOKUP(C7,Tabela13[#All],2,FALSE)</f>
        <v>CLT</v>
      </c>
      <c r="E7" t="s">
        <v>57</v>
      </c>
      <c r="F7">
        <v>23.23</v>
      </c>
    </row>
    <row r="8" spans="1:6" x14ac:dyDescent="0.25">
      <c r="A8" s="3">
        <v>7</v>
      </c>
      <c r="B8" s="14">
        <v>130268</v>
      </c>
      <c r="C8" t="s">
        <v>60</v>
      </c>
      <c r="D8" t="str">
        <f>VLOOKUP(C8,Tabela13[#All],2,FALSE)</f>
        <v>Autônomo</v>
      </c>
      <c r="E8" t="s">
        <v>54</v>
      </c>
      <c r="F8">
        <v>10.119999999999999</v>
      </c>
    </row>
    <row r="9" spans="1:6" x14ac:dyDescent="0.25">
      <c r="A9" s="3">
        <v>8</v>
      </c>
      <c r="B9" s="14">
        <v>96820</v>
      </c>
      <c r="C9" t="s">
        <v>60</v>
      </c>
      <c r="D9" t="str">
        <f>VLOOKUP(C9,Tabela13[#All],2,FALSE)</f>
        <v>Autônomo</v>
      </c>
      <c r="E9" t="s">
        <v>54</v>
      </c>
      <c r="F9">
        <v>6.95</v>
      </c>
    </row>
    <row r="10" spans="1:6" x14ac:dyDescent="0.25">
      <c r="A10" s="3">
        <v>9</v>
      </c>
      <c r="B10" s="14">
        <v>74886</v>
      </c>
      <c r="C10" t="s">
        <v>57</v>
      </c>
      <c r="D10" t="str">
        <f>VLOOKUP(C10,Tabela13[#All],2,FALSE)</f>
        <v>CLT</v>
      </c>
      <c r="E10" t="s">
        <v>57</v>
      </c>
      <c r="F10">
        <v>33.47</v>
      </c>
    </row>
    <row r="11" spans="1:6" x14ac:dyDescent="0.25">
      <c r="A11" s="3">
        <v>10</v>
      </c>
      <c r="B11" s="14">
        <v>26265</v>
      </c>
      <c r="C11" t="s">
        <v>57</v>
      </c>
      <c r="D11" t="str">
        <f>VLOOKUP(C11,Tabela13[#All],2,FALSE)</f>
        <v>CLT</v>
      </c>
      <c r="E11" t="s">
        <v>57</v>
      </c>
      <c r="F11">
        <v>33.97</v>
      </c>
    </row>
    <row r="12" spans="1:6" x14ac:dyDescent="0.25">
      <c r="A12" s="3">
        <v>11</v>
      </c>
      <c r="B12" s="14">
        <v>102386</v>
      </c>
      <c r="C12" t="s">
        <v>60</v>
      </c>
      <c r="D12" t="str">
        <f>VLOOKUP(C12,Tabela13[#All],2,FALSE)</f>
        <v>Autônomo</v>
      </c>
      <c r="E12" t="s">
        <v>54</v>
      </c>
      <c r="F12">
        <v>29.25</v>
      </c>
    </row>
    <row r="13" spans="1:6" x14ac:dyDescent="0.25">
      <c r="A13" s="3">
        <v>12</v>
      </c>
      <c r="B13" s="14">
        <v>148214</v>
      </c>
      <c r="C13" t="s">
        <v>60</v>
      </c>
      <c r="D13" t="str">
        <f>VLOOKUP(C13,Tabela13[#All],2,FALSE)</f>
        <v>Autônomo</v>
      </c>
      <c r="E13" t="s">
        <v>54</v>
      </c>
      <c r="F13">
        <v>14.14</v>
      </c>
    </row>
    <row r="14" spans="1:6" x14ac:dyDescent="0.25">
      <c r="A14" s="3">
        <v>13</v>
      </c>
      <c r="B14" s="14">
        <v>57194</v>
      </c>
      <c r="C14" t="s">
        <v>60</v>
      </c>
      <c r="D14" t="str">
        <f>VLOOKUP(C14,Tabela13[#All],2,FALSE)</f>
        <v>Autônomo</v>
      </c>
      <c r="E14" t="s">
        <v>54</v>
      </c>
      <c r="F14">
        <v>7.93</v>
      </c>
    </row>
    <row r="15" spans="1:6" x14ac:dyDescent="0.25">
      <c r="A15" s="3">
        <v>14</v>
      </c>
      <c r="B15" s="14">
        <v>107498</v>
      </c>
      <c r="C15" t="s">
        <v>59</v>
      </c>
      <c r="D15" t="str">
        <f>VLOOKUP(C15,Tabela13[#All],2,FALSE)</f>
        <v>Empresário</v>
      </c>
      <c r="E15" t="s">
        <v>58</v>
      </c>
      <c r="F15">
        <v>25.53</v>
      </c>
    </row>
    <row r="16" spans="1:6" x14ac:dyDescent="0.25">
      <c r="A16" s="3">
        <v>15</v>
      </c>
      <c r="B16" s="14">
        <v>132727</v>
      </c>
      <c r="C16" t="s">
        <v>59</v>
      </c>
      <c r="D16" t="str">
        <f>VLOOKUP(C16,Tabela13[#All],2,FALSE)</f>
        <v>Empresário</v>
      </c>
      <c r="E16" t="s">
        <v>58</v>
      </c>
      <c r="F16">
        <v>18.2</v>
      </c>
    </row>
    <row r="17" spans="1:6" x14ac:dyDescent="0.25">
      <c r="A17" s="3">
        <v>16</v>
      </c>
      <c r="B17" s="14">
        <v>146324</v>
      </c>
      <c r="C17" t="s">
        <v>59</v>
      </c>
      <c r="D17" t="str">
        <f>VLOOKUP(C17,Tabela13[#All],2,FALSE)</f>
        <v>Empresário</v>
      </c>
      <c r="E17" t="s">
        <v>58</v>
      </c>
      <c r="F17">
        <v>8.66</v>
      </c>
    </row>
    <row r="18" spans="1:6" x14ac:dyDescent="0.25">
      <c r="A18" s="3">
        <v>17</v>
      </c>
      <c r="B18" s="14">
        <v>64131</v>
      </c>
      <c r="C18" t="s">
        <v>57</v>
      </c>
      <c r="D18" t="str">
        <f>VLOOKUP(C18,Tabela13[#All],2,FALSE)</f>
        <v>CLT</v>
      </c>
      <c r="E18" t="s">
        <v>57</v>
      </c>
      <c r="F18">
        <v>19.86</v>
      </c>
    </row>
    <row r="19" spans="1:6" x14ac:dyDescent="0.25">
      <c r="A19" s="3">
        <v>18</v>
      </c>
      <c r="B19" s="14">
        <v>80263</v>
      </c>
      <c r="C19" t="s">
        <v>59</v>
      </c>
      <c r="D19" t="str">
        <f>VLOOKUP(C19,Tabela13[#All],2,FALSE)</f>
        <v>Empresário</v>
      </c>
      <c r="E19" t="s">
        <v>58</v>
      </c>
      <c r="F19">
        <v>6.03</v>
      </c>
    </row>
    <row r="20" spans="1:6" x14ac:dyDescent="0.25">
      <c r="A20" s="3">
        <v>19</v>
      </c>
      <c r="B20" s="14">
        <v>36023</v>
      </c>
      <c r="C20" t="s">
        <v>57</v>
      </c>
      <c r="D20" t="str">
        <f>VLOOKUP(C20,Tabela13[#All],2,FALSE)</f>
        <v>CLT</v>
      </c>
      <c r="E20" t="s">
        <v>57</v>
      </c>
      <c r="F20">
        <v>32.28</v>
      </c>
    </row>
    <row r="21" spans="1:6" x14ac:dyDescent="0.25">
      <c r="A21" s="3">
        <v>20</v>
      </c>
      <c r="B21" s="14">
        <v>61090</v>
      </c>
      <c r="C21" t="s">
        <v>57</v>
      </c>
      <c r="D21" t="str">
        <f>VLOOKUP(C21,Tabela13[#All],2,FALSE)</f>
        <v>CLT</v>
      </c>
      <c r="E21" t="s">
        <v>57</v>
      </c>
      <c r="F21">
        <v>12.76</v>
      </c>
    </row>
    <row r="26" spans="1:6" ht="23.25" x14ac:dyDescent="0.35">
      <c r="D26" s="12" t="s">
        <v>56</v>
      </c>
      <c r="E26" s="12"/>
      <c r="F26" s="13">
        <v>20</v>
      </c>
    </row>
    <row r="27" spans="1:6" ht="23.25" x14ac:dyDescent="0.35">
      <c r="D27" s="12" t="s">
        <v>55</v>
      </c>
      <c r="E27" s="12"/>
      <c r="F27" s="11" t="s">
        <v>54</v>
      </c>
    </row>
    <row r="29" spans="1:6" x14ac:dyDescent="0.25">
      <c r="A29" t="s">
        <v>67</v>
      </c>
    </row>
    <row r="30" spans="1:6" x14ac:dyDescent="0.25">
      <c r="A30" t="s">
        <v>66</v>
      </c>
      <c r="B30" t="s">
        <v>65</v>
      </c>
    </row>
    <row r="31" spans="1:6" x14ac:dyDescent="0.25">
      <c r="A31" t="s">
        <v>57</v>
      </c>
      <c r="B31" t="s">
        <v>57</v>
      </c>
    </row>
    <row r="32" spans="1:6" x14ac:dyDescent="0.25">
      <c r="A32" t="s">
        <v>60</v>
      </c>
      <c r="B32" t="s">
        <v>54</v>
      </c>
    </row>
    <row r="33" spans="1:2" x14ac:dyDescent="0.25">
      <c r="A33" t="s">
        <v>59</v>
      </c>
      <c r="B33" t="s">
        <v>58</v>
      </c>
    </row>
  </sheetData>
  <conditionalFormatting sqref="F2:F21">
    <cfRule type="cellIs" dxfId="4" priority="2" operator="greaterThan">
      <formula>$F$26</formula>
    </cfRule>
  </conditionalFormatting>
  <conditionalFormatting sqref="A2:F21">
    <cfRule type="expression" dxfId="3" priority="1">
      <formula>$F$27=$E2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C11C0-DC51-4E60-9EDC-60D3A5A3C7DD}">
  <dimension ref="B3:L83"/>
  <sheetViews>
    <sheetView workbookViewId="0">
      <selection sqref="A1:XFD1048576"/>
    </sheetView>
  </sheetViews>
  <sheetFormatPr defaultRowHeight="15" x14ac:dyDescent="0.25"/>
  <cols>
    <col min="2" max="2" width="32.42578125" bestFit="1" customWidth="1"/>
    <col min="3" max="3" width="11.42578125" bestFit="1" customWidth="1"/>
    <col min="6" max="6" width="17.85546875" customWidth="1"/>
    <col min="7" max="7" width="16.140625" customWidth="1"/>
    <col min="8" max="8" width="11.42578125" bestFit="1" customWidth="1"/>
    <col min="11" max="11" width="14" bestFit="1" customWidth="1"/>
    <col min="12" max="12" width="11.42578125" bestFit="1" customWidth="1"/>
  </cols>
  <sheetData>
    <row r="3" spans="2:12" x14ac:dyDescent="0.25">
      <c r="B3" t="s">
        <v>93</v>
      </c>
      <c r="F3" t="s">
        <v>92</v>
      </c>
    </row>
    <row r="4" spans="2:12" ht="15.75" thickBot="1" x14ac:dyDescent="0.3"/>
    <row r="5" spans="2:12" ht="15.75" thickBot="1" x14ac:dyDescent="0.3">
      <c r="B5" s="24" t="s">
        <v>91</v>
      </c>
      <c r="C5" s="23">
        <v>7.4999999999999997E-2</v>
      </c>
    </row>
    <row r="7" spans="2:12" x14ac:dyDescent="0.25">
      <c r="B7" s="22" t="s">
        <v>88</v>
      </c>
      <c r="C7" s="22" t="s">
        <v>87</v>
      </c>
      <c r="F7" s="22" t="s">
        <v>90</v>
      </c>
      <c r="G7" s="22" t="s">
        <v>88</v>
      </c>
      <c r="H7" s="22" t="s">
        <v>87</v>
      </c>
      <c r="J7" s="22" t="s">
        <v>89</v>
      </c>
      <c r="K7" s="22" t="s">
        <v>88</v>
      </c>
      <c r="L7" s="22" t="s">
        <v>87</v>
      </c>
    </row>
    <row r="8" spans="2:12" x14ac:dyDescent="0.25">
      <c r="B8" s="20">
        <v>7.4999999999999997E-2</v>
      </c>
      <c r="C8">
        <f>COUNTIF([1]Caso2!Q1:Q301,'Aula 4'!B8)</f>
        <v>58</v>
      </c>
      <c r="F8" s="19" t="s">
        <v>86</v>
      </c>
      <c r="G8" s="18">
        <v>0.15</v>
      </c>
      <c r="H8">
        <f>COUNTIFS([1]Caso2!$M:$M,'Aula 4'!F8,[1]Caso2!$Q:$Q,'Aula 4'!G8)</f>
        <v>15</v>
      </c>
      <c r="J8" t="s">
        <v>85</v>
      </c>
      <c r="K8" s="17">
        <v>7.4999999999999997E-2</v>
      </c>
      <c r="L8">
        <f>COUNTIFS([1]Caso2!$L:$L,'Aula 4'!J8,[1]Caso2!$Q:$Q,'Aula 4'!K8)</f>
        <v>3</v>
      </c>
    </row>
    <row r="9" spans="2:12" x14ac:dyDescent="0.25">
      <c r="B9" s="21">
        <v>0.15</v>
      </c>
      <c r="C9">
        <f>COUNTIF([1]Caso2!Q2:Q302,'Aula 4'!B9)</f>
        <v>62</v>
      </c>
      <c r="F9" s="19" t="s">
        <v>86</v>
      </c>
      <c r="G9" s="17">
        <v>0.22500000000000001</v>
      </c>
      <c r="H9">
        <f>COUNTIFS([1]Caso2!$M:$M,'Aula 4'!F9,[1]Caso2!$Q:$Q,'Aula 4'!G9)</f>
        <v>17</v>
      </c>
      <c r="J9" t="s">
        <v>85</v>
      </c>
      <c r="K9" s="18">
        <v>0.15</v>
      </c>
      <c r="L9">
        <f>COUNTIFS([1]Caso2!$L:$L,'Aula 4'!J9,[1]Caso2!$Q:$Q,'Aula 4'!K9)</f>
        <v>6</v>
      </c>
    </row>
    <row r="10" spans="2:12" x14ac:dyDescent="0.25">
      <c r="B10" s="20">
        <v>0.22500000000000001</v>
      </c>
      <c r="C10">
        <f>COUNTIF([1]Caso2!Q3:Q303,'Aula 4'!B10)</f>
        <v>61</v>
      </c>
      <c r="F10" s="19" t="s">
        <v>86</v>
      </c>
      <c r="G10" s="9" t="s">
        <v>68</v>
      </c>
      <c r="H10">
        <f>COUNTIFS([1]Caso2!$M:$M,'Aula 4'!F10,[1]Caso2!$Q:$Q,'Aula 4'!G10)</f>
        <v>10</v>
      </c>
      <c r="J10" t="s">
        <v>85</v>
      </c>
      <c r="K10" s="17">
        <v>0.22500000000000001</v>
      </c>
      <c r="L10">
        <f>COUNTIFS([1]Caso2!$L:$L,'Aula 4'!J10,[1]Caso2!$Q:$Q,'Aula 4'!K10)</f>
        <v>6</v>
      </c>
    </row>
    <row r="11" spans="2:12" x14ac:dyDescent="0.25">
      <c r="B11" s="20">
        <v>0.27500000000000002</v>
      </c>
      <c r="C11">
        <f>COUNTIF([1]Caso2!Q4:Q304,'Aula 4'!B11)</f>
        <v>58</v>
      </c>
      <c r="F11" s="19" t="s">
        <v>86</v>
      </c>
      <c r="G11" s="17">
        <v>7.4999999999999997E-2</v>
      </c>
      <c r="H11">
        <f>COUNTIFS([1]Caso2!$M:$M,'Aula 4'!F11,[1]Caso2!$Q:$Q,'Aula 4'!G11)</f>
        <v>8</v>
      </c>
      <c r="J11" t="s">
        <v>85</v>
      </c>
      <c r="K11" s="17">
        <v>0.27500000000000002</v>
      </c>
      <c r="L11">
        <f>COUNTIFS([1]Caso2!$L:$L,'Aula 4'!J11,[1]Caso2!$Q:$Q,'Aula 4'!K11)</f>
        <v>5</v>
      </c>
    </row>
    <row r="12" spans="2:12" x14ac:dyDescent="0.25">
      <c r="B12" s="19" t="s">
        <v>68</v>
      </c>
      <c r="C12">
        <f>COUNTIF([1]Caso2!Q5:Q305,'Aula 4'!B12)</f>
        <v>61</v>
      </c>
      <c r="F12" s="19" t="s">
        <v>86</v>
      </c>
      <c r="G12" s="17">
        <v>0.27500000000000002</v>
      </c>
      <c r="H12">
        <f>COUNTIFS([1]Caso2!$M:$M,'Aula 4'!F12,[1]Caso2!$Q:$Q,'Aula 4'!G12)</f>
        <v>15</v>
      </c>
      <c r="J12" t="s">
        <v>85</v>
      </c>
      <c r="K12" s="9" t="s">
        <v>68</v>
      </c>
      <c r="L12">
        <f>COUNTIFS([1]Caso2!$L:$L,'Aula 4'!J12,[1]Caso2!$Q:$Q,'Aula 4'!K12)</f>
        <v>5</v>
      </c>
    </row>
    <row r="13" spans="2:12" x14ac:dyDescent="0.25">
      <c r="B13" s="15" t="s">
        <v>19</v>
      </c>
      <c r="C13" s="15">
        <f>SUM(C8:C12)</f>
        <v>300</v>
      </c>
      <c r="F13" s="19" t="s">
        <v>54</v>
      </c>
      <c r="G13" s="17">
        <v>0.22500000000000001</v>
      </c>
      <c r="H13">
        <f>COUNTIFS([1]Caso2!$M:$M,'Aula 4'!F13,[1]Caso2!$Q:$Q,'Aula 4'!G13)</f>
        <v>5</v>
      </c>
      <c r="J13" t="s">
        <v>84</v>
      </c>
      <c r="K13" s="17">
        <v>7.4999999999999997E-2</v>
      </c>
      <c r="L13">
        <f>COUNTIFS([1]Caso2!$L:$L,'Aula 4'!J13,[1]Caso2!$Q:$Q,'Aula 4'!K13)</f>
        <v>4</v>
      </c>
    </row>
    <row r="14" spans="2:12" x14ac:dyDescent="0.25">
      <c r="F14" s="19" t="s">
        <v>54</v>
      </c>
      <c r="G14" s="17">
        <v>0.27500000000000002</v>
      </c>
      <c r="H14">
        <f>COUNTIFS([1]Caso2!$M:$M,'Aula 4'!F14,[1]Caso2!$Q:$Q,'Aula 4'!G14)</f>
        <v>10</v>
      </c>
      <c r="J14" t="s">
        <v>84</v>
      </c>
      <c r="K14" s="18">
        <v>0.15</v>
      </c>
      <c r="L14">
        <f>COUNTIFS([1]Caso2!$L:$L,'Aula 4'!J14,[1]Caso2!$Q:$Q,'Aula 4'!K14)</f>
        <v>9</v>
      </c>
    </row>
    <row r="15" spans="2:12" x14ac:dyDescent="0.25">
      <c r="F15" s="19" t="s">
        <v>54</v>
      </c>
      <c r="G15" s="9" t="s">
        <v>68</v>
      </c>
      <c r="H15">
        <f>COUNTIFS([1]Caso2!$M:$M,'Aula 4'!F15,[1]Caso2!$Q:$Q,'Aula 4'!G15)</f>
        <v>12</v>
      </c>
      <c r="J15" t="s">
        <v>84</v>
      </c>
      <c r="K15" s="17">
        <v>0.22500000000000001</v>
      </c>
      <c r="L15">
        <f>COUNTIFS([1]Caso2!$L:$L,'Aula 4'!J15,[1]Caso2!$Q:$Q,'Aula 4'!K15)</f>
        <v>5</v>
      </c>
    </row>
    <row r="16" spans="2:12" x14ac:dyDescent="0.25">
      <c r="F16" s="19" t="s">
        <v>54</v>
      </c>
      <c r="G16" s="18">
        <v>0.15</v>
      </c>
      <c r="H16">
        <f>COUNTIFS([1]Caso2!$M:$M,'Aula 4'!F16,[1]Caso2!$Q:$Q,'Aula 4'!G16)</f>
        <v>11</v>
      </c>
      <c r="J16" t="s">
        <v>84</v>
      </c>
      <c r="K16" s="17">
        <v>0.27500000000000002</v>
      </c>
      <c r="L16">
        <f>COUNTIFS([1]Caso2!$L:$L,'Aula 4'!J16,[1]Caso2!$Q:$Q,'Aula 4'!K16)</f>
        <v>7</v>
      </c>
    </row>
    <row r="17" spans="6:12" x14ac:dyDescent="0.25">
      <c r="F17" s="19" t="s">
        <v>54</v>
      </c>
      <c r="G17" s="17">
        <v>7.4999999999999997E-2</v>
      </c>
      <c r="H17">
        <f>COUNTIFS([1]Caso2!$M:$M,'Aula 4'!F17,[1]Caso2!$Q:$Q,'Aula 4'!G17)</f>
        <v>11</v>
      </c>
      <c r="J17" t="s">
        <v>84</v>
      </c>
      <c r="K17" s="9" t="s">
        <v>68</v>
      </c>
      <c r="L17">
        <f>COUNTIFS([1]Caso2!$L:$L,'Aula 4'!J17,[1]Caso2!$Q:$Q,'Aula 4'!K17)</f>
        <v>2</v>
      </c>
    </row>
    <row r="18" spans="6:12" x14ac:dyDescent="0.25">
      <c r="F18" s="19" t="s">
        <v>83</v>
      </c>
      <c r="G18" s="9" t="s">
        <v>68</v>
      </c>
      <c r="H18">
        <f>COUNTIFS([1]Caso2!$M:$M,'Aula 4'!F18,[1]Caso2!$Q:$Q,'Aula 4'!G18)</f>
        <v>13</v>
      </c>
      <c r="J18" t="s">
        <v>82</v>
      </c>
      <c r="K18" s="17">
        <v>7.4999999999999997E-2</v>
      </c>
      <c r="L18">
        <f>COUNTIFS([1]Caso2!$L:$L,'Aula 4'!J18,[1]Caso2!$Q:$Q,'Aula 4'!K18)</f>
        <v>2</v>
      </c>
    </row>
    <row r="19" spans="6:12" x14ac:dyDescent="0.25">
      <c r="F19" s="19" t="s">
        <v>83</v>
      </c>
      <c r="G19" s="17">
        <v>0.27500000000000002</v>
      </c>
      <c r="H19">
        <f>COUNTIFS([1]Caso2!$M:$M,'Aula 4'!F19,[1]Caso2!$Q:$Q,'Aula 4'!G19)</f>
        <v>11</v>
      </c>
      <c r="J19" t="s">
        <v>82</v>
      </c>
      <c r="K19" s="18">
        <v>0.15</v>
      </c>
      <c r="L19">
        <f>COUNTIFS([1]Caso2!$L:$L,'Aula 4'!J19,[1]Caso2!$Q:$Q,'Aula 4'!K19)</f>
        <v>4</v>
      </c>
    </row>
    <row r="20" spans="6:12" x14ac:dyDescent="0.25">
      <c r="F20" s="19" t="s">
        <v>83</v>
      </c>
      <c r="G20" s="17">
        <v>0.22500000000000001</v>
      </c>
      <c r="H20">
        <f>COUNTIFS([1]Caso2!$M:$M,'Aula 4'!F20,[1]Caso2!$Q:$Q,'Aula 4'!G20)</f>
        <v>11</v>
      </c>
      <c r="J20" t="s">
        <v>82</v>
      </c>
      <c r="K20" s="17">
        <v>0.22500000000000001</v>
      </c>
      <c r="L20">
        <f>COUNTIFS([1]Caso2!$L:$L,'Aula 4'!J20,[1]Caso2!$Q:$Q,'Aula 4'!K20)</f>
        <v>2</v>
      </c>
    </row>
    <row r="21" spans="6:12" x14ac:dyDescent="0.25">
      <c r="F21" s="19" t="s">
        <v>83</v>
      </c>
      <c r="G21" s="17">
        <v>7.4999999999999997E-2</v>
      </c>
      <c r="H21">
        <f>COUNTIFS([1]Caso2!$M:$M,'Aula 4'!F21,[1]Caso2!$Q:$Q,'Aula 4'!G21)</f>
        <v>14</v>
      </c>
      <c r="J21" t="s">
        <v>82</v>
      </c>
      <c r="K21" s="17">
        <v>0.27500000000000002</v>
      </c>
      <c r="L21">
        <f>COUNTIFS([1]Caso2!$L:$L,'Aula 4'!J21,[1]Caso2!$Q:$Q,'Aula 4'!K21)</f>
        <v>2</v>
      </c>
    </row>
    <row r="22" spans="6:12" x14ac:dyDescent="0.25">
      <c r="F22" s="19" t="s">
        <v>83</v>
      </c>
      <c r="G22" s="18">
        <v>0.15</v>
      </c>
      <c r="H22">
        <f>COUNTIFS([1]Caso2!$M:$M,'Aula 4'!F22,[1]Caso2!$Q:$Q,'Aula 4'!G22)</f>
        <v>15</v>
      </c>
      <c r="J22" t="s">
        <v>82</v>
      </c>
      <c r="K22" s="9" t="s">
        <v>68</v>
      </c>
      <c r="L22">
        <f>COUNTIFS([1]Caso2!$L:$L,'Aula 4'!J22,[1]Caso2!$Q:$Q,'Aula 4'!K22)</f>
        <v>4</v>
      </c>
    </row>
    <row r="23" spans="6:12" x14ac:dyDescent="0.25">
      <c r="F23" s="19" t="s">
        <v>58</v>
      </c>
      <c r="G23" s="17">
        <v>7.4999999999999997E-2</v>
      </c>
      <c r="H23">
        <f>COUNTIFS([1]Caso2!$M:$M,'Aula 4'!F23,[1]Caso2!$Q:$Q,'Aula 4'!G23)</f>
        <v>15</v>
      </c>
      <c r="J23" t="s">
        <v>81</v>
      </c>
      <c r="K23" s="17">
        <v>7.4999999999999997E-2</v>
      </c>
      <c r="L23">
        <f>COUNTIFS([1]Caso2!$L:$L,'Aula 4'!J23,[1]Caso2!$Q:$Q,'Aula 4'!K23)</f>
        <v>5</v>
      </c>
    </row>
    <row r="24" spans="6:12" x14ac:dyDescent="0.25">
      <c r="F24" s="19" t="s">
        <v>58</v>
      </c>
      <c r="G24" s="17">
        <v>0.22500000000000001</v>
      </c>
      <c r="H24">
        <f>COUNTIFS([1]Caso2!$M:$M,'Aula 4'!F24,[1]Caso2!$Q:$Q,'Aula 4'!G24)</f>
        <v>17</v>
      </c>
      <c r="J24" t="s">
        <v>81</v>
      </c>
      <c r="K24" s="18">
        <v>0.15</v>
      </c>
      <c r="L24">
        <f>COUNTIFS([1]Caso2!$L:$L,'Aula 4'!J24,[1]Caso2!$Q:$Q,'Aula 4'!K24)</f>
        <v>3</v>
      </c>
    </row>
    <row r="25" spans="6:12" x14ac:dyDescent="0.25">
      <c r="F25" s="19" t="s">
        <v>58</v>
      </c>
      <c r="G25" s="18">
        <v>0.15</v>
      </c>
      <c r="H25">
        <f>COUNTIFS([1]Caso2!$M:$M,'Aula 4'!F25,[1]Caso2!$Q:$Q,'Aula 4'!G25)</f>
        <v>14</v>
      </c>
      <c r="J25" t="s">
        <v>81</v>
      </c>
      <c r="K25" s="17">
        <v>0.22500000000000001</v>
      </c>
      <c r="L25">
        <f>COUNTIFS([1]Caso2!$L:$L,'Aula 4'!J25,[1]Caso2!$Q:$Q,'Aula 4'!K25)</f>
        <v>6</v>
      </c>
    </row>
    <row r="26" spans="6:12" x14ac:dyDescent="0.25">
      <c r="F26" s="19" t="s">
        <v>58</v>
      </c>
      <c r="G26" s="9" t="s">
        <v>68</v>
      </c>
      <c r="H26">
        <f>COUNTIFS([1]Caso2!$M:$M,'Aula 4'!F26,[1]Caso2!$Q:$Q,'Aula 4'!G26)</f>
        <v>16</v>
      </c>
      <c r="J26" t="s">
        <v>81</v>
      </c>
      <c r="K26" s="17">
        <v>0.27500000000000002</v>
      </c>
      <c r="L26">
        <f>COUNTIFS([1]Caso2!$L:$L,'Aula 4'!J26,[1]Caso2!$Q:$Q,'Aula 4'!K26)</f>
        <v>4</v>
      </c>
    </row>
    <row r="27" spans="6:12" x14ac:dyDescent="0.25">
      <c r="F27" s="19" t="s">
        <v>58</v>
      </c>
      <c r="G27" s="17">
        <v>0.27500000000000002</v>
      </c>
      <c r="H27">
        <f>COUNTIFS([1]Caso2!$M:$M,'Aula 4'!F27,[1]Caso2!$Q:$Q,'Aula 4'!G27)</f>
        <v>11</v>
      </c>
      <c r="J27" t="s">
        <v>81</v>
      </c>
      <c r="K27" s="9" t="s">
        <v>68</v>
      </c>
      <c r="L27">
        <f>COUNTIFS([1]Caso2!$L:$L,'Aula 4'!J27,[1]Caso2!$Q:$Q,'Aula 4'!K27)</f>
        <v>2</v>
      </c>
    </row>
    <row r="28" spans="6:12" x14ac:dyDescent="0.25">
      <c r="F28" s="19" t="s">
        <v>80</v>
      </c>
      <c r="G28" s="17">
        <v>0.27500000000000002</v>
      </c>
      <c r="H28">
        <f>COUNTIFS([1]Caso2!$M:$M,'Aula 4'!F28,[1]Caso2!$Q:$Q,'Aula 4'!G28)</f>
        <v>11</v>
      </c>
      <c r="J28" t="s">
        <v>79</v>
      </c>
      <c r="K28" s="17">
        <v>7.4999999999999997E-2</v>
      </c>
      <c r="L28">
        <f>COUNTIFS([1]Caso2!$L:$L,'Aula 4'!J28,[1]Caso2!$Q:$Q,'Aula 4'!K28)</f>
        <v>2</v>
      </c>
    </row>
    <row r="29" spans="6:12" x14ac:dyDescent="0.25">
      <c r="F29" s="19" t="s">
        <v>80</v>
      </c>
      <c r="G29" s="9" t="s">
        <v>68</v>
      </c>
      <c r="H29">
        <f>COUNTIFS([1]Caso2!$M:$M,'Aula 4'!F29,[1]Caso2!$Q:$Q,'Aula 4'!G29)</f>
        <v>10</v>
      </c>
      <c r="J29" t="s">
        <v>79</v>
      </c>
      <c r="K29" s="18">
        <v>0.15</v>
      </c>
      <c r="L29">
        <f>COUNTIFS([1]Caso2!$L:$L,'Aula 4'!J29,[1]Caso2!$Q:$Q,'Aula 4'!K29)</f>
        <v>7</v>
      </c>
    </row>
    <row r="30" spans="6:12" x14ac:dyDescent="0.25">
      <c r="F30" s="19" t="s">
        <v>80</v>
      </c>
      <c r="G30" s="17">
        <v>7.4999999999999997E-2</v>
      </c>
      <c r="H30">
        <f>COUNTIFS([1]Caso2!$M:$M,'Aula 4'!F30,[1]Caso2!$Q:$Q,'Aula 4'!G30)</f>
        <v>10</v>
      </c>
      <c r="J30" t="s">
        <v>79</v>
      </c>
      <c r="K30" s="17">
        <v>0.22500000000000001</v>
      </c>
      <c r="L30">
        <f>COUNTIFS([1]Caso2!$L:$L,'Aula 4'!J30,[1]Caso2!$Q:$Q,'Aula 4'!K30)</f>
        <v>3</v>
      </c>
    </row>
    <row r="31" spans="6:12" x14ac:dyDescent="0.25">
      <c r="F31" s="19" t="s">
        <v>80</v>
      </c>
      <c r="G31" s="18">
        <v>0.15</v>
      </c>
      <c r="H31">
        <f>COUNTIFS([1]Caso2!$M:$M,'Aula 4'!F31,[1]Caso2!$Q:$Q,'Aula 4'!G31)</f>
        <v>7</v>
      </c>
      <c r="J31" t="s">
        <v>79</v>
      </c>
      <c r="K31" s="17">
        <v>0.27500000000000002</v>
      </c>
      <c r="L31">
        <f>COUNTIFS([1]Caso2!$L:$L,'Aula 4'!J31,[1]Caso2!$Q:$Q,'Aula 4'!K31)</f>
        <v>3</v>
      </c>
    </row>
    <row r="32" spans="6:12" x14ac:dyDescent="0.25">
      <c r="F32" s="19" t="s">
        <v>80</v>
      </c>
      <c r="G32" s="17">
        <v>0.22500000000000001</v>
      </c>
      <c r="H32">
        <f>COUNTIFS([1]Caso2!$M:$M,'Aula 4'!F32,[1]Caso2!$Q:$Q,'Aula 4'!G32)</f>
        <v>11</v>
      </c>
      <c r="J32" t="s">
        <v>79</v>
      </c>
      <c r="K32" s="9" t="s">
        <v>68</v>
      </c>
      <c r="L32">
        <f>COUNTIFS([1]Caso2!$L:$L,'Aula 4'!J32,[1]Caso2!$Q:$Q,'Aula 4'!K32)</f>
        <v>3</v>
      </c>
    </row>
    <row r="33" spans="6:12" x14ac:dyDescent="0.25">
      <c r="F33" s="15" t="s">
        <v>19</v>
      </c>
      <c r="G33" s="16"/>
      <c r="H33" s="15">
        <f>SUM(H8:H32)</f>
        <v>300</v>
      </c>
      <c r="J33" t="s">
        <v>78</v>
      </c>
      <c r="K33" s="17">
        <v>7.4999999999999997E-2</v>
      </c>
      <c r="L33">
        <f>COUNTIFS([1]Caso2!$L:$L,'Aula 4'!J33,[1]Caso2!$Q:$Q,'Aula 4'!K33)</f>
        <v>2</v>
      </c>
    </row>
    <row r="34" spans="6:12" x14ac:dyDescent="0.25">
      <c r="J34" t="s">
        <v>78</v>
      </c>
      <c r="K34" s="18">
        <v>0.15</v>
      </c>
      <c r="L34">
        <f>COUNTIFS([1]Caso2!$L:$L,'Aula 4'!J34,[1]Caso2!$Q:$Q,'Aula 4'!K34)</f>
        <v>1</v>
      </c>
    </row>
    <row r="35" spans="6:12" x14ac:dyDescent="0.25">
      <c r="J35" t="s">
        <v>78</v>
      </c>
      <c r="K35" s="17">
        <v>0.22500000000000001</v>
      </c>
      <c r="L35">
        <f>COUNTIFS([1]Caso2!$L:$L,'Aula 4'!J35,[1]Caso2!$Q:$Q,'Aula 4'!K35)</f>
        <v>4</v>
      </c>
    </row>
    <row r="36" spans="6:12" x14ac:dyDescent="0.25">
      <c r="J36" t="s">
        <v>78</v>
      </c>
      <c r="K36" s="17">
        <v>0.27500000000000002</v>
      </c>
      <c r="L36">
        <f>COUNTIFS([1]Caso2!$L:$L,'Aula 4'!J36,[1]Caso2!$Q:$Q,'Aula 4'!K36)</f>
        <v>4</v>
      </c>
    </row>
    <row r="37" spans="6:12" x14ac:dyDescent="0.25">
      <c r="J37" t="s">
        <v>78</v>
      </c>
      <c r="K37" s="9" t="s">
        <v>68</v>
      </c>
      <c r="L37">
        <f>COUNTIFS([1]Caso2!$L:$L,'Aula 4'!J37,[1]Caso2!$Q:$Q,'Aula 4'!K37)</f>
        <v>7</v>
      </c>
    </row>
    <row r="38" spans="6:12" x14ac:dyDescent="0.25">
      <c r="J38" t="s">
        <v>77</v>
      </c>
      <c r="K38" s="17">
        <v>7.4999999999999997E-2</v>
      </c>
      <c r="L38">
        <f>COUNTIFS([1]Caso2!$L:$L,'Aula 4'!J38,[1]Caso2!$Q:$Q,'Aula 4'!K38)</f>
        <v>3</v>
      </c>
    </row>
    <row r="39" spans="6:12" x14ac:dyDescent="0.25">
      <c r="J39" t="s">
        <v>77</v>
      </c>
      <c r="K39" s="18">
        <v>0.15</v>
      </c>
      <c r="L39">
        <f>COUNTIFS([1]Caso2!$L:$L,'Aula 4'!J39,[1]Caso2!$Q:$Q,'Aula 4'!K39)</f>
        <v>4</v>
      </c>
    </row>
    <row r="40" spans="6:12" x14ac:dyDescent="0.25">
      <c r="J40" t="s">
        <v>77</v>
      </c>
      <c r="K40" s="17">
        <v>0.22500000000000001</v>
      </c>
      <c r="L40">
        <f>COUNTIFS([1]Caso2!$L:$L,'Aula 4'!J40,[1]Caso2!$Q:$Q,'Aula 4'!K40)</f>
        <v>1</v>
      </c>
    </row>
    <row r="41" spans="6:12" x14ac:dyDescent="0.25">
      <c r="J41" t="s">
        <v>77</v>
      </c>
      <c r="K41" s="17">
        <v>0.27500000000000002</v>
      </c>
      <c r="L41">
        <f>COUNTIFS([1]Caso2!$L:$L,'Aula 4'!J41,[1]Caso2!$Q:$Q,'Aula 4'!K41)</f>
        <v>5</v>
      </c>
    </row>
    <row r="42" spans="6:12" x14ac:dyDescent="0.25">
      <c r="J42" t="s">
        <v>77</v>
      </c>
      <c r="K42" s="9" t="s">
        <v>68</v>
      </c>
      <c r="L42">
        <f>COUNTIFS([1]Caso2!$L:$L,'Aula 4'!J42,[1]Caso2!$Q:$Q,'Aula 4'!K42)</f>
        <v>5</v>
      </c>
    </row>
    <row r="43" spans="6:12" x14ac:dyDescent="0.25">
      <c r="J43" t="s">
        <v>76</v>
      </c>
      <c r="K43" s="17">
        <v>7.4999999999999997E-2</v>
      </c>
      <c r="L43">
        <f>COUNTIFS([1]Caso2!$L:$L,'Aula 4'!J43,[1]Caso2!$Q:$Q,'Aula 4'!K43)</f>
        <v>4</v>
      </c>
    </row>
    <row r="44" spans="6:12" x14ac:dyDescent="0.25">
      <c r="J44" t="s">
        <v>76</v>
      </c>
      <c r="K44" s="18">
        <v>0.15</v>
      </c>
      <c r="L44">
        <f>COUNTIFS([1]Caso2!$L:$L,'Aula 4'!J44,[1]Caso2!$Q:$Q,'Aula 4'!K44)</f>
        <v>7</v>
      </c>
    </row>
    <row r="45" spans="6:12" x14ac:dyDescent="0.25">
      <c r="J45" t="s">
        <v>76</v>
      </c>
      <c r="K45" s="17">
        <v>0.22500000000000001</v>
      </c>
      <c r="L45">
        <f>COUNTIFS([1]Caso2!$L:$L,'Aula 4'!J45,[1]Caso2!$Q:$Q,'Aula 4'!K45)</f>
        <v>4</v>
      </c>
    </row>
    <row r="46" spans="6:12" x14ac:dyDescent="0.25">
      <c r="J46" t="s">
        <v>76</v>
      </c>
      <c r="K46" s="17">
        <v>0.27500000000000002</v>
      </c>
      <c r="L46">
        <f>COUNTIFS([1]Caso2!$L:$L,'Aula 4'!J46,[1]Caso2!$Q:$Q,'Aula 4'!K46)</f>
        <v>2</v>
      </c>
    </row>
    <row r="47" spans="6:12" x14ac:dyDescent="0.25">
      <c r="J47" t="s">
        <v>76</v>
      </c>
      <c r="K47" s="9" t="s">
        <v>68</v>
      </c>
      <c r="L47">
        <f>COUNTIFS([1]Caso2!$L:$L,'Aula 4'!J47,[1]Caso2!$Q:$Q,'Aula 4'!K47)</f>
        <v>3</v>
      </c>
    </row>
    <row r="48" spans="6:12" x14ac:dyDescent="0.25">
      <c r="J48" t="s">
        <v>75</v>
      </c>
      <c r="K48" s="17">
        <v>7.4999999999999997E-2</v>
      </c>
      <c r="L48">
        <f>COUNTIFS([1]Caso2!$L:$L,'Aula 4'!J48,[1]Caso2!$Q:$Q,'Aula 4'!K48)</f>
        <v>5</v>
      </c>
    </row>
    <row r="49" spans="10:12" x14ac:dyDescent="0.25">
      <c r="J49" t="s">
        <v>75</v>
      </c>
      <c r="K49" s="18">
        <v>0.15</v>
      </c>
      <c r="L49">
        <f>COUNTIFS([1]Caso2!$L:$L,'Aula 4'!J49,[1]Caso2!$Q:$Q,'Aula 4'!K49)</f>
        <v>2</v>
      </c>
    </row>
    <row r="50" spans="10:12" x14ac:dyDescent="0.25">
      <c r="J50" t="s">
        <v>75</v>
      </c>
      <c r="K50" s="17">
        <v>0.22500000000000001</v>
      </c>
      <c r="L50">
        <f>COUNTIFS([1]Caso2!$L:$L,'Aula 4'!J50,[1]Caso2!$Q:$Q,'Aula 4'!K50)</f>
        <v>4</v>
      </c>
    </row>
    <row r="51" spans="10:12" x14ac:dyDescent="0.25">
      <c r="J51" t="s">
        <v>75</v>
      </c>
      <c r="K51" s="17">
        <v>0.27500000000000002</v>
      </c>
      <c r="L51">
        <f>COUNTIFS([1]Caso2!$L:$L,'Aula 4'!J51,[1]Caso2!$Q:$Q,'Aula 4'!K51)</f>
        <v>9</v>
      </c>
    </row>
    <row r="52" spans="10:12" x14ac:dyDescent="0.25">
      <c r="J52" t="s">
        <v>75</v>
      </c>
      <c r="K52" s="9" t="s">
        <v>68</v>
      </c>
      <c r="L52">
        <f>COUNTIFS([1]Caso2!$L:$L,'Aula 4'!J52,[1]Caso2!$Q:$Q,'Aula 4'!K52)</f>
        <v>5</v>
      </c>
    </row>
    <row r="53" spans="10:12" x14ac:dyDescent="0.25">
      <c r="J53" t="s">
        <v>74</v>
      </c>
      <c r="K53" s="17">
        <v>7.4999999999999997E-2</v>
      </c>
      <c r="L53">
        <f>COUNTIFS([1]Caso2!$L:$L,'Aula 4'!J53,[1]Caso2!$Q:$Q,'Aula 4'!K53)</f>
        <v>3</v>
      </c>
    </row>
    <row r="54" spans="10:12" x14ac:dyDescent="0.25">
      <c r="J54" t="s">
        <v>74</v>
      </c>
      <c r="K54" s="18">
        <v>0.15</v>
      </c>
      <c r="L54">
        <f>COUNTIFS([1]Caso2!$L:$L,'Aula 4'!J54,[1]Caso2!$Q:$Q,'Aula 4'!K54)</f>
        <v>2</v>
      </c>
    </row>
    <row r="55" spans="10:12" x14ac:dyDescent="0.25">
      <c r="J55" t="s">
        <v>74</v>
      </c>
      <c r="K55" s="17">
        <v>0.22500000000000001</v>
      </c>
      <c r="L55">
        <f>COUNTIFS([1]Caso2!$L:$L,'Aula 4'!J55,[1]Caso2!$Q:$Q,'Aula 4'!K55)</f>
        <v>5</v>
      </c>
    </row>
    <row r="56" spans="10:12" x14ac:dyDescent="0.25">
      <c r="J56" t="s">
        <v>74</v>
      </c>
      <c r="K56" s="17">
        <v>0.27500000000000002</v>
      </c>
      <c r="L56">
        <f>COUNTIFS([1]Caso2!$L:$L,'Aula 4'!J56,[1]Caso2!$Q:$Q,'Aula 4'!K56)</f>
        <v>4</v>
      </c>
    </row>
    <row r="57" spans="10:12" x14ac:dyDescent="0.25">
      <c r="J57" t="s">
        <v>74</v>
      </c>
      <c r="K57" s="9" t="s">
        <v>68</v>
      </c>
      <c r="L57">
        <f>COUNTIFS([1]Caso2!$L:$L,'Aula 4'!J57,[1]Caso2!$Q:$Q,'Aula 4'!K57)</f>
        <v>6</v>
      </c>
    </row>
    <row r="58" spans="10:12" x14ac:dyDescent="0.25">
      <c r="J58" t="s">
        <v>73</v>
      </c>
      <c r="K58" s="17">
        <v>7.4999999999999997E-2</v>
      </c>
      <c r="L58">
        <f>COUNTIFS([1]Caso2!$L:$L,'Aula 4'!J58,[1]Caso2!$Q:$Q,'Aula 4'!K58)</f>
        <v>1</v>
      </c>
    </row>
    <row r="59" spans="10:12" x14ac:dyDescent="0.25">
      <c r="J59" t="s">
        <v>73</v>
      </c>
      <c r="K59" s="18">
        <v>0.15</v>
      </c>
      <c r="L59">
        <f>COUNTIFS([1]Caso2!$L:$L,'Aula 4'!J59,[1]Caso2!$Q:$Q,'Aula 4'!K59)</f>
        <v>2</v>
      </c>
    </row>
    <row r="60" spans="10:12" x14ac:dyDescent="0.25">
      <c r="J60" t="s">
        <v>73</v>
      </c>
      <c r="K60" s="17">
        <v>0.22500000000000001</v>
      </c>
      <c r="L60">
        <f>COUNTIFS([1]Caso2!$L:$L,'Aula 4'!J60,[1]Caso2!$Q:$Q,'Aula 4'!K60)</f>
        <v>4</v>
      </c>
    </row>
    <row r="61" spans="10:12" x14ac:dyDescent="0.25">
      <c r="J61" t="s">
        <v>73</v>
      </c>
      <c r="K61" s="17">
        <v>0.27500000000000002</v>
      </c>
      <c r="L61">
        <f>COUNTIFS([1]Caso2!$L:$L,'Aula 4'!J61,[1]Caso2!$Q:$Q,'Aula 4'!K61)</f>
        <v>3</v>
      </c>
    </row>
    <row r="62" spans="10:12" x14ac:dyDescent="0.25">
      <c r="J62" t="s">
        <v>73</v>
      </c>
      <c r="K62" s="9" t="s">
        <v>68</v>
      </c>
      <c r="L62">
        <f>COUNTIFS([1]Caso2!$L:$L,'Aula 4'!J62,[1]Caso2!$Q:$Q,'Aula 4'!K62)</f>
        <v>7</v>
      </c>
    </row>
    <row r="63" spans="10:12" x14ac:dyDescent="0.25">
      <c r="J63" t="s">
        <v>72</v>
      </c>
      <c r="K63" s="17">
        <v>7.4999999999999997E-2</v>
      </c>
      <c r="L63">
        <f>COUNTIFS([1]Caso2!$L:$L,'Aula 4'!J63,[1]Caso2!$Q:$Q,'Aula 4'!K63)</f>
        <v>4</v>
      </c>
    </row>
    <row r="64" spans="10:12" x14ac:dyDescent="0.25">
      <c r="J64" t="s">
        <v>72</v>
      </c>
      <c r="K64" s="18">
        <v>0.15</v>
      </c>
      <c r="L64">
        <f>COUNTIFS([1]Caso2!$L:$L,'Aula 4'!J64,[1]Caso2!$Q:$Q,'Aula 4'!K64)</f>
        <v>4</v>
      </c>
    </row>
    <row r="65" spans="10:12" x14ac:dyDescent="0.25">
      <c r="J65" t="s">
        <v>72</v>
      </c>
      <c r="K65" s="17">
        <v>0.22500000000000001</v>
      </c>
      <c r="L65">
        <f>COUNTIFS([1]Caso2!$L:$L,'Aula 4'!J65,[1]Caso2!$Q:$Q,'Aula 4'!K65)</f>
        <v>4</v>
      </c>
    </row>
    <row r="66" spans="10:12" x14ac:dyDescent="0.25">
      <c r="J66" t="s">
        <v>72</v>
      </c>
      <c r="K66" s="17">
        <v>0.27500000000000002</v>
      </c>
      <c r="L66">
        <f>COUNTIFS([1]Caso2!$L:$L,'Aula 4'!J66,[1]Caso2!$Q:$Q,'Aula 4'!K66)</f>
        <v>2</v>
      </c>
    </row>
    <row r="67" spans="10:12" x14ac:dyDescent="0.25">
      <c r="J67" t="s">
        <v>72</v>
      </c>
      <c r="K67" s="9" t="s">
        <v>68</v>
      </c>
      <c r="L67">
        <f>COUNTIFS([1]Caso2!$L:$L,'Aula 4'!J67,[1]Caso2!$Q:$Q,'Aula 4'!K67)</f>
        <v>3</v>
      </c>
    </row>
    <row r="68" spans="10:12" x14ac:dyDescent="0.25">
      <c r="J68" t="s">
        <v>71</v>
      </c>
      <c r="K68" s="17">
        <v>7.4999999999999997E-2</v>
      </c>
      <c r="L68">
        <f>COUNTIFS([1]Caso2!$L:$L,'Aula 4'!J68,[1]Caso2!$Q:$Q,'Aula 4'!K68)</f>
        <v>7</v>
      </c>
    </row>
    <row r="69" spans="10:12" x14ac:dyDescent="0.25">
      <c r="J69" t="s">
        <v>71</v>
      </c>
      <c r="K69" s="18">
        <v>0.15</v>
      </c>
      <c r="L69">
        <f>COUNTIFS([1]Caso2!$L:$L,'Aula 4'!J69,[1]Caso2!$Q:$Q,'Aula 4'!K69)</f>
        <v>2</v>
      </c>
    </row>
    <row r="70" spans="10:12" x14ac:dyDescent="0.25">
      <c r="J70" t="s">
        <v>71</v>
      </c>
      <c r="K70" s="17">
        <v>0.22500000000000001</v>
      </c>
      <c r="L70">
        <f>COUNTIFS([1]Caso2!$L:$L,'Aula 4'!J70,[1]Caso2!$Q:$Q,'Aula 4'!K70)</f>
        <v>4</v>
      </c>
    </row>
    <row r="71" spans="10:12" x14ac:dyDescent="0.25">
      <c r="J71" t="s">
        <v>71</v>
      </c>
      <c r="K71" s="17">
        <v>0.27500000000000002</v>
      </c>
      <c r="L71">
        <f>COUNTIFS([1]Caso2!$L:$L,'Aula 4'!J71,[1]Caso2!$Q:$Q,'Aula 4'!K71)</f>
        <v>5</v>
      </c>
    </row>
    <row r="72" spans="10:12" x14ac:dyDescent="0.25">
      <c r="J72" t="s">
        <v>71</v>
      </c>
      <c r="K72" s="9" t="s">
        <v>68</v>
      </c>
      <c r="L72">
        <f>COUNTIFS([1]Caso2!$L:$L,'Aula 4'!J72,[1]Caso2!$Q:$Q,'Aula 4'!K72)</f>
        <v>5</v>
      </c>
    </row>
    <row r="73" spans="10:12" x14ac:dyDescent="0.25">
      <c r="J73" t="s">
        <v>70</v>
      </c>
      <c r="K73" s="17">
        <v>7.4999999999999997E-2</v>
      </c>
      <c r="L73">
        <f>COUNTIFS([1]Caso2!$L:$L,'Aula 4'!J73,[1]Caso2!$Q:$Q,'Aula 4'!K73)</f>
        <v>7</v>
      </c>
    </row>
    <row r="74" spans="10:12" x14ac:dyDescent="0.25">
      <c r="J74" t="s">
        <v>70</v>
      </c>
      <c r="K74" s="18">
        <v>0.15</v>
      </c>
      <c r="L74">
        <f>COUNTIFS([1]Caso2!$L:$L,'Aula 4'!J74,[1]Caso2!$Q:$Q,'Aula 4'!K74)</f>
        <v>4</v>
      </c>
    </row>
    <row r="75" spans="10:12" x14ac:dyDescent="0.25">
      <c r="J75" t="s">
        <v>70</v>
      </c>
      <c r="K75" s="17">
        <v>0.22500000000000001</v>
      </c>
      <c r="L75">
        <f>COUNTIFS([1]Caso2!$L:$L,'Aula 4'!J75,[1]Caso2!$Q:$Q,'Aula 4'!K75)</f>
        <v>3</v>
      </c>
    </row>
    <row r="76" spans="10:12" x14ac:dyDescent="0.25">
      <c r="J76" t="s">
        <v>70</v>
      </c>
      <c r="K76" s="17">
        <v>0.27500000000000002</v>
      </c>
      <c r="L76">
        <f>COUNTIFS([1]Caso2!$L:$L,'Aula 4'!J76,[1]Caso2!$Q:$Q,'Aula 4'!K76)</f>
        <v>1</v>
      </c>
    </row>
    <row r="77" spans="10:12" x14ac:dyDescent="0.25">
      <c r="J77" t="s">
        <v>70</v>
      </c>
      <c r="K77" s="9" t="s">
        <v>68</v>
      </c>
      <c r="L77">
        <f>COUNTIFS([1]Caso2!$L:$L,'Aula 4'!J77,[1]Caso2!$Q:$Q,'Aula 4'!K77)</f>
        <v>2</v>
      </c>
    </row>
    <row r="78" spans="10:12" x14ac:dyDescent="0.25">
      <c r="J78" t="s">
        <v>69</v>
      </c>
      <c r="K78" s="17">
        <v>7.4999999999999997E-2</v>
      </c>
      <c r="L78">
        <f>COUNTIFS([1]Caso2!$L:$L,'Aula 4'!J78,[1]Caso2!$Q:$Q,'Aula 4'!K78)</f>
        <v>6</v>
      </c>
    </row>
    <row r="79" spans="10:12" x14ac:dyDescent="0.25">
      <c r="J79" t="s">
        <v>69</v>
      </c>
      <c r="K79" s="18">
        <v>0.15</v>
      </c>
      <c r="L79">
        <f>COUNTIFS([1]Caso2!$L:$L,'Aula 4'!J79,[1]Caso2!$Q:$Q,'Aula 4'!K79)</f>
        <v>5</v>
      </c>
    </row>
    <row r="80" spans="10:12" x14ac:dyDescent="0.25">
      <c r="J80" t="s">
        <v>69</v>
      </c>
      <c r="K80" s="17">
        <v>0.22500000000000001</v>
      </c>
      <c r="L80">
        <f>COUNTIFS([1]Caso2!$L:$L,'Aula 4'!J80,[1]Caso2!$Q:$Q,'Aula 4'!K80)</f>
        <v>6</v>
      </c>
    </row>
    <row r="81" spans="10:12" x14ac:dyDescent="0.25">
      <c r="J81" t="s">
        <v>69</v>
      </c>
      <c r="K81" s="17">
        <v>0.27500000000000002</v>
      </c>
      <c r="L81">
        <f>COUNTIFS([1]Caso2!$L:$L,'Aula 4'!J81,[1]Caso2!$Q:$Q,'Aula 4'!K81)</f>
        <v>2</v>
      </c>
    </row>
    <row r="82" spans="10:12" x14ac:dyDescent="0.25">
      <c r="J82" t="s">
        <v>69</v>
      </c>
      <c r="K82" s="9" t="s">
        <v>68</v>
      </c>
      <c r="L82">
        <f>COUNTIFS([1]Caso2!$L:$L,'Aula 4'!J82,[1]Caso2!$Q:$Q,'Aula 4'!K82)</f>
        <v>2</v>
      </c>
    </row>
    <row r="83" spans="10:12" x14ac:dyDescent="0.25">
      <c r="J83" s="15" t="s">
        <v>19</v>
      </c>
      <c r="K83" s="16"/>
      <c r="L83" s="15">
        <f>SUM(L8:L82)</f>
        <v>300</v>
      </c>
    </row>
  </sheetData>
  <conditionalFormatting sqref="B8:C12">
    <cfRule type="expression" dxfId="2" priority="3">
      <formula>$B8=$C$5</formula>
    </cfRule>
  </conditionalFormatting>
  <conditionalFormatting sqref="F8:H32">
    <cfRule type="expression" dxfId="1" priority="2">
      <formula>$G8=$C$5</formula>
    </cfRule>
  </conditionalFormatting>
  <conditionalFormatting sqref="J8:L82">
    <cfRule type="expression" dxfId="0" priority="1">
      <formula>$K8=$C$5</formula>
    </cfRule>
  </conditionalFormatting>
  <dataValidations count="1">
    <dataValidation type="list" allowBlank="1" showInputMessage="1" showErrorMessage="1" errorTitle="Valor não permitido" error="Coloque um valor adequado" promptTitle="Faixa Imposto" prompt="Coloque uma faixa adequada" sqref="C5" xr:uid="{093640DD-9BA5-4EDF-B7B6-F0B81A7F5DD0}">
      <formula1>$B$8:$B$12</formula1>
    </dataValidation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14DBA-E954-494D-A425-293DD031C3CC}">
  <dimension ref="A1:H60"/>
  <sheetViews>
    <sheetView showGridLines="0" tabSelected="1" zoomScale="115" zoomScaleNormal="115" workbookViewId="0">
      <selection activeCell="F21" sqref="F21"/>
    </sheetView>
  </sheetViews>
  <sheetFormatPr defaultColWidth="0" defaultRowHeight="15" zeroHeight="1" x14ac:dyDescent="0.25"/>
  <cols>
    <col min="1" max="1" width="9.140625" style="26" customWidth="1"/>
    <col min="2" max="2" width="39.85546875" style="26" bestFit="1" customWidth="1"/>
    <col min="3" max="3" width="28.7109375" style="26" bestFit="1" customWidth="1"/>
    <col min="4" max="4" width="25.7109375" style="48" bestFit="1" customWidth="1"/>
    <col min="5" max="5" width="9.140625" style="26" customWidth="1"/>
    <col min="6" max="6" width="13.28515625" style="26" customWidth="1"/>
    <col min="7" max="7" width="14.85546875" style="26" customWidth="1"/>
    <col min="8" max="8" width="9.140625" style="26" customWidth="1"/>
    <col min="9" max="9" width="9.140625" customWidth="1"/>
    <col min="10" max="16384" width="9.140625" hidden="1"/>
  </cols>
  <sheetData>
    <row r="1" spans="1:8" x14ac:dyDescent="0.25"/>
    <row r="2" spans="1:8" ht="15.75" thickBot="1" x14ac:dyDescent="0.3"/>
    <row r="3" spans="1:8" ht="51" customHeight="1" thickTop="1" x14ac:dyDescent="0.25">
      <c r="B3" s="31" t="s">
        <v>107</v>
      </c>
      <c r="C3" s="32"/>
      <c r="D3" s="33"/>
    </row>
    <row r="4" spans="1:8" ht="17.25" x14ac:dyDescent="0.3">
      <c r="B4" s="36" t="s">
        <v>105</v>
      </c>
      <c r="C4" s="37"/>
      <c r="D4" s="52">
        <v>2000</v>
      </c>
    </row>
    <row r="5" spans="1:8" ht="17.25" x14ac:dyDescent="0.3">
      <c r="B5" s="36" t="s">
        <v>106</v>
      </c>
      <c r="C5" s="38"/>
      <c r="D5" s="53">
        <v>6.0000000000000001E-3</v>
      </c>
    </row>
    <row r="6" spans="1:8" ht="18" thickBot="1" x14ac:dyDescent="0.35">
      <c r="B6" s="39" t="s">
        <v>128</v>
      </c>
      <c r="C6" s="40"/>
      <c r="D6" s="54">
        <f>Salario*0.3</f>
        <v>600</v>
      </c>
    </row>
    <row r="7" spans="1:8" ht="16.5" thickTop="1" thickBot="1" x14ac:dyDescent="0.3"/>
    <row r="8" spans="1:8" ht="51" customHeight="1" thickTop="1" x14ac:dyDescent="0.25">
      <c r="B8" s="31" t="s">
        <v>99</v>
      </c>
      <c r="C8" s="32"/>
      <c r="D8" s="33"/>
    </row>
    <row r="9" spans="1:8" s="25" customFormat="1" ht="17.25" x14ac:dyDescent="0.3">
      <c r="A9" s="27"/>
      <c r="B9" s="41" t="s">
        <v>98</v>
      </c>
      <c r="C9" s="37"/>
      <c r="D9" s="55">
        <v>200</v>
      </c>
      <c r="E9" s="27"/>
      <c r="F9" s="27"/>
      <c r="G9" s="27"/>
      <c r="H9" s="27"/>
    </row>
    <row r="10" spans="1:8" s="25" customFormat="1" ht="17.25" x14ac:dyDescent="0.3">
      <c r="A10" s="27"/>
      <c r="B10" s="36" t="s">
        <v>94</v>
      </c>
      <c r="C10" s="38"/>
      <c r="D10" s="56">
        <v>5</v>
      </c>
      <c r="E10" s="27"/>
      <c r="F10" s="27"/>
      <c r="G10" s="27"/>
      <c r="H10" s="27"/>
    </row>
    <row r="11" spans="1:8" s="25" customFormat="1" ht="17.25" x14ac:dyDescent="0.3">
      <c r="A11" s="27"/>
      <c r="B11" s="36" t="s">
        <v>95</v>
      </c>
      <c r="C11" s="38"/>
      <c r="D11" s="53">
        <v>1.0789999999999999E-2</v>
      </c>
      <c r="E11" s="27"/>
      <c r="F11" s="27"/>
      <c r="G11" s="27"/>
      <c r="H11" s="27"/>
    </row>
    <row r="12" spans="1:8" s="25" customFormat="1" ht="17.25" x14ac:dyDescent="0.3">
      <c r="A12" s="27"/>
      <c r="B12" s="36" t="s">
        <v>96</v>
      </c>
      <c r="C12" s="38"/>
      <c r="D12" s="50">
        <f>FV(Rendimento_Mensal,Anos*12,-1*Aporte)</f>
        <v>16755.382799697527</v>
      </c>
      <c r="E12" s="27"/>
      <c r="F12" s="27"/>
      <c r="G12" s="27"/>
      <c r="H12" s="27"/>
    </row>
    <row r="13" spans="1:8" s="25" customFormat="1" ht="18" thickBot="1" x14ac:dyDescent="0.35">
      <c r="A13" s="27"/>
      <c r="B13" s="39" t="s">
        <v>97</v>
      </c>
      <c r="C13" s="40"/>
      <c r="D13" s="51">
        <f>Patrimonio*Rendimento_Carteira</f>
        <v>100.53229679818516</v>
      </c>
      <c r="E13" s="27"/>
      <c r="F13" s="27"/>
      <c r="G13" s="27"/>
      <c r="H13" s="27"/>
    </row>
    <row r="14" spans="1:8" s="25" customFormat="1" ht="17.25" thickTop="1" thickBot="1" x14ac:dyDescent="0.3">
      <c r="A14" s="27"/>
      <c r="B14" s="27"/>
      <c r="C14" s="27"/>
      <c r="D14" s="49"/>
      <c r="E14" s="27"/>
      <c r="F14" s="27"/>
      <c r="G14" s="27"/>
      <c r="H14" s="27"/>
    </row>
    <row r="15" spans="1:8" ht="51" customHeight="1" thickTop="1" x14ac:dyDescent="0.25">
      <c r="B15" s="31" t="s">
        <v>108</v>
      </c>
      <c r="C15" s="34"/>
      <c r="D15" s="35" t="s">
        <v>109</v>
      </c>
    </row>
    <row r="16" spans="1:8" ht="18" customHeight="1" x14ac:dyDescent="0.3">
      <c r="A16" s="28">
        <v>2</v>
      </c>
      <c r="B16" s="41" t="s">
        <v>100</v>
      </c>
      <c r="C16" s="42">
        <f>FV($D$11,A16*12,$D$9*-1)</f>
        <v>5445.5254595290435</v>
      </c>
      <c r="D16" s="50">
        <f>C16*Rendimento_Carteira</f>
        <v>32.673152757174265</v>
      </c>
    </row>
    <row r="17" spans="1:8" s="25" customFormat="1" ht="17.25" x14ac:dyDescent="0.3">
      <c r="A17" s="28">
        <v>5</v>
      </c>
      <c r="B17" s="36" t="s">
        <v>101</v>
      </c>
      <c r="C17" s="43">
        <f>FV($D$11,A17*12,$D$9*-1)</f>
        <v>16755.382799697527</v>
      </c>
      <c r="D17" s="50">
        <f>C17*Rendimento_Carteira</f>
        <v>100.53229679818516</v>
      </c>
      <c r="E17" s="27"/>
      <c r="F17" s="27"/>
      <c r="G17" s="27"/>
      <c r="H17" s="27"/>
    </row>
    <row r="18" spans="1:8" s="25" customFormat="1" ht="17.25" x14ac:dyDescent="0.3">
      <c r="A18" s="28">
        <v>10</v>
      </c>
      <c r="B18" s="36" t="s">
        <v>102</v>
      </c>
      <c r="C18" s="43">
        <f>FV($D$11,A18*12,$D$9*-1)</f>
        <v>48656.842506034438</v>
      </c>
      <c r="D18" s="50">
        <f>C18*Rendimento_Carteira</f>
        <v>291.94105503620665</v>
      </c>
      <c r="E18" s="27"/>
      <c r="F18" s="27"/>
      <c r="G18" s="27"/>
      <c r="H18" s="27"/>
    </row>
    <row r="19" spans="1:8" s="25" customFormat="1" ht="17.25" x14ac:dyDescent="0.3">
      <c r="A19" s="28">
        <v>20</v>
      </c>
      <c r="B19" s="36" t="s">
        <v>103</v>
      </c>
      <c r="C19" s="43">
        <f>FV($D$11,A19*12,$D$9*-1)</f>
        <v>225039.68001941612</v>
      </c>
      <c r="D19" s="50">
        <f>C19*Rendimento_Carteira</f>
        <v>1350.2380801164968</v>
      </c>
      <c r="E19" s="27"/>
      <c r="F19" s="27"/>
      <c r="G19" s="27"/>
      <c r="H19" s="27"/>
    </row>
    <row r="20" spans="1:8" s="25" customFormat="1" ht="18" thickBot="1" x14ac:dyDescent="0.35">
      <c r="A20" s="28">
        <v>30</v>
      </c>
      <c r="B20" s="39" t="s">
        <v>104</v>
      </c>
      <c r="C20" s="44">
        <f>FV($D$11,A20*12,$D$9*-1)</f>
        <v>864433.93100094295</v>
      </c>
      <c r="D20" s="51">
        <f>C20*Rendimento_Carteira</f>
        <v>5186.6035860056581</v>
      </c>
      <c r="E20" s="27"/>
      <c r="F20" s="27"/>
      <c r="G20" s="27"/>
      <c r="H20" s="27"/>
    </row>
    <row r="21" spans="1:8" s="25" customFormat="1" ht="17.25" thickTop="1" thickBot="1" x14ac:dyDescent="0.3">
      <c r="A21" s="27"/>
      <c r="B21" s="27"/>
      <c r="C21" s="27"/>
      <c r="D21" s="49"/>
      <c r="E21" s="27"/>
      <c r="F21" s="27"/>
      <c r="G21" s="27"/>
      <c r="H21" s="27"/>
    </row>
    <row r="22" spans="1:8" ht="18" thickTop="1" x14ac:dyDescent="0.3">
      <c r="B22" s="59" t="s">
        <v>110</v>
      </c>
      <c r="C22" s="60" t="s">
        <v>121</v>
      </c>
      <c r="D22" s="61"/>
    </row>
    <row r="23" spans="1:8" ht="18" thickBot="1" x14ac:dyDescent="0.35">
      <c r="B23" s="62" t="s">
        <v>111</v>
      </c>
      <c r="C23" s="63">
        <f>Aporte</f>
        <v>200</v>
      </c>
      <c r="D23" s="64"/>
    </row>
    <row r="24" spans="1:8" ht="18" thickTop="1" thickBot="1" x14ac:dyDescent="0.35">
      <c r="B24" s="29"/>
      <c r="C24" s="30"/>
      <c r="E24" s="47" t="s">
        <v>127</v>
      </c>
      <c r="F24" s="47"/>
      <c r="G24" s="47"/>
      <c r="H24" s="47"/>
    </row>
    <row r="25" spans="1:8" ht="18" thickTop="1" x14ac:dyDescent="0.25">
      <c r="B25" s="67" t="s">
        <v>112</v>
      </c>
      <c r="C25" s="68" t="s">
        <v>119</v>
      </c>
      <c r="D25" s="66" t="s">
        <v>120</v>
      </c>
      <c r="E25" s="45" t="s">
        <v>125</v>
      </c>
      <c r="F25" s="45" t="s">
        <v>122</v>
      </c>
      <c r="G25" s="45" t="s">
        <v>112</v>
      </c>
      <c r="H25" s="45" t="s">
        <v>126</v>
      </c>
    </row>
    <row r="26" spans="1:8" ht="17.25" x14ac:dyDescent="0.3">
      <c r="B26" s="72" t="s">
        <v>113</v>
      </c>
      <c r="C26" s="73">
        <f>VLOOKUP($C$22&amp;"-"&amp;B26,E25:H43,4,FALSE)</f>
        <v>0.3</v>
      </c>
      <c r="D26" s="74">
        <f>C26*$C$23</f>
        <v>60</v>
      </c>
      <c r="E26" s="45" t="str">
        <f>F26&amp;"-"&amp;G26</f>
        <v>Conservador-PAPEL</v>
      </c>
      <c r="F26" s="45" t="s">
        <v>121</v>
      </c>
      <c r="G26" s="45" t="s">
        <v>113</v>
      </c>
      <c r="H26" s="46">
        <v>0.3</v>
      </c>
    </row>
    <row r="27" spans="1:8" ht="17.25" x14ac:dyDescent="0.3">
      <c r="B27" s="84" t="s">
        <v>114</v>
      </c>
      <c r="C27" s="85">
        <f t="shared" ref="C27:C31" si="0">VLOOKUP($C$22&amp;"-"&amp;B27,E26:H44,4,FALSE)</f>
        <v>0.5</v>
      </c>
      <c r="D27" s="86">
        <f t="shared" ref="D27:D31" si="1">C27*$C$23</f>
        <v>100</v>
      </c>
      <c r="E27" s="45" t="str">
        <f t="shared" ref="E27:E43" si="2">F27&amp;"-"&amp;G27</f>
        <v>Conservador-TIJOLO</v>
      </c>
      <c r="F27" s="45" t="s">
        <v>121</v>
      </c>
      <c r="G27" s="45" t="s">
        <v>114</v>
      </c>
      <c r="H27" s="46">
        <v>0.5</v>
      </c>
    </row>
    <row r="28" spans="1:8" ht="17.25" x14ac:dyDescent="0.3">
      <c r="B28" s="75" t="s">
        <v>115</v>
      </c>
      <c r="C28" s="76">
        <f t="shared" si="0"/>
        <v>0.1</v>
      </c>
      <c r="D28" s="77">
        <f t="shared" si="1"/>
        <v>20</v>
      </c>
      <c r="E28" s="45" t="str">
        <f t="shared" si="2"/>
        <v>Conservador-HÍBRIDOS</v>
      </c>
      <c r="F28" s="45" t="s">
        <v>121</v>
      </c>
      <c r="G28" s="45" t="s">
        <v>115</v>
      </c>
      <c r="H28" s="46">
        <v>0.1</v>
      </c>
    </row>
    <row r="29" spans="1:8" ht="17.25" x14ac:dyDescent="0.3">
      <c r="B29" s="69" t="s">
        <v>116</v>
      </c>
      <c r="C29" s="70">
        <f t="shared" si="0"/>
        <v>0.1</v>
      </c>
      <c r="D29" s="71">
        <f t="shared" si="1"/>
        <v>20</v>
      </c>
      <c r="E29" s="45" t="str">
        <f t="shared" si="2"/>
        <v>Conservador-FOF's</v>
      </c>
      <c r="F29" s="45" t="s">
        <v>121</v>
      </c>
      <c r="G29" s="45" t="s">
        <v>116</v>
      </c>
      <c r="H29" s="46">
        <v>0.1</v>
      </c>
    </row>
    <row r="30" spans="1:8" ht="17.25" x14ac:dyDescent="0.3">
      <c r="B30" s="78" t="s">
        <v>118</v>
      </c>
      <c r="C30" s="79">
        <f t="shared" si="0"/>
        <v>0</v>
      </c>
      <c r="D30" s="80">
        <f t="shared" si="1"/>
        <v>0</v>
      </c>
      <c r="E30" s="45" t="str">
        <f t="shared" si="2"/>
        <v>Conservador-DESENVOLVIMENTO</v>
      </c>
      <c r="F30" s="45" t="s">
        <v>121</v>
      </c>
      <c r="G30" s="45" t="s">
        <v>118</v>
      </c>
      <c r="H30" s="46">
        <v>0</v>
      </c>
    </row>
    <row r="31" spans="1:8" ht="17.25" x14ac:dyDescent="0.3">
      <c r="B31" s="81" t="s">
        <v>117</v>
      </c>
      <c r="C31" s="82">
        <f t="shared" si="0"/>
        <v>0</v>
      </c>
      <c r="D31" s="83">
        <f t="shared" si="1"/>
        <v>0</v>
      </c>
      <c r="E31" s="45" t="str">
        <f t="shared" si="2"/>
        <v>Conservador-HOTELARIAS</v>
      </c>
      <c r="F31" s="45" t="s">
        <v>121</v>
      </c>
      <c r="G31" s="45" t="s">
        <v>117</v>
      </c>
      <c r="H31" s="46">
        <v>0</v>
      </c>
    </row>
    <row r="32" spans="1:8" ht="18.75" customHeight="1" thickBot="1" x14ac:dyDescent="0.35">
      <c r="B32" s="57"/>
      <c r="C32" s="58"/>
      <c r="D32" s="65">
        <f>SUM(D26:D31)</f>
        <v>200</v>
      </c>
      <c r="E32" s="45" t="str">
        <f t="shared" si="2"/>
        <v>Moderado-PAPEL</v>
      </c>
      <c r="F32" s="45" t="s">
        <v>123</v>
      </c>
      <c r="G32" s="45" t="s">
        <v>113</v>
      </c>
      <c r="H32" s="46">
        <v>0.32</v>
      </c>
    </row>
    <row r="33" spans="2:8" ht="18" thickTop="1" thickBot="1" x14ac:dyDescent="0.35">
      <c r="E33" s="45" t="str">
        <f t="shared" si="2"/>
        <v>Moderado-TIJOLO</v>
      </c>
      <c r="F33" s="45" t="s">
        <v>123</v>
      </c>
      <c r="G33" s="45" t="s">
        <v>114</v>
      </c>
      <c r="H33" s="46">
        <v>0.35</v>
      </c>
    </row>
    <row r="34" spans="2:8" ht="18" thickTop="1" x14ac:dyDescent="0.3">
      <c r="B34" s="59"/>
      <c r="C34" s="60"/>
      <c r="D34" s="61"/>
      <c r="E34" s="45" t="str">
        <f t="shared" si="2"/>
        <v>Moderado-HÍBRIDOS</v>
      </c>
      <c r="F34" s="45" t="s">
        <v>123</v>
      </c>
      <c r="G34" s="45" t="s">
        <v>115</v>
      </c>
      <c r="H34" s="46">
        <v>0.08</v>
      </c>
    </row>
    <row r="35" spans="2:8" ht="16.5" x14ac:dyDescent="0.3">
      <c r="E35" s="45" t="str">
        <f t="shared" si="2"/>
        <v>Moderado-FOF's</v>
      </c>
      <c r="F35" s="45" t="s">
        <v>123</v>
      </c>
      <c r="G35" s="45" t="s">
        <v>116</v>
      </c>
      <c r="H35" s="46">
        <v>0.05</v>
      </c>
    </row>
    <row r="36" spans="2:8" ht="16.5" x14ac:dyDescent="0.3">
      <c r="E36" s="45" t="str">
        <f t="shared" si="2"/>
        <v>Moderado-DESENVOLVIMENTO</v>
      </c>
      <c r="F36" s="45" t="s">
        <v>123</v>
      </c>
      <c r="G36" s="45" t="s">
        <v>118</v>
      </c>
      <c r="H36" s="46">
        <v>0.1</v>
      </c>
    </row>
    <row r="37" spans="2:8" ht="16.5" x14ac:dyDescent="0.3">
      <c r="E37" s="45" t="str">
        <f t="shared" si="2"/>
        <v>Moderado-HOTELARIAS</v>
      </c>
      <c r="F37" s="45" t="s">
        <v>123</v>
      </c>
      <c r="G37" s="45" t="s">
        <v>117</v>
      </c>
      <c r="H37" s="46">
        <v>0.1</v>
      </c>
    </row>
    <row r="38" spans="2:8" ht="16.5" x14ac:dyDescent="0.3">
      <c r="E38" s="45" t="str">
        <f t="shared" si="2"/>
        <v>Agressivo-PAPEL</v>
      </c>
      <c r="F38" s="45" t="s">
        <v>124</v>
      </c>
      <c r="G38" s="45" t="s">
        <v>113</v>
      </c>
      <c r="H38" s="46">
        <v>0.5</v>
      </c>
    </row>
    <row r="39" spans="2:8" ht="16.5" x14ac:dyDescent="0.3">
      <c r="E39" s="45" t="str">
        <f t="shared" si="2"/>
        <v>Agressivo-TIJOLO</v>
      </c>
      <c r="F39" s="45" t="s">
        <v>124</v>
      </c>
      <c r="G39" s="45" t="s">
        <v>114</v>
      </c>
      <c r="H39" s="46">
        <v>0.1</v>
      </c>
    </row>
    <row r="40" spans="2:8" ht="16.5" x14ac:dyDescent="0.3">
      <c r="E40" s="45" t="str">
        <f t="shared" si="2"/>
        <v>Agressivo-HÍBRIDOS</v>
      </c>
      <c r="F40" s="45" t="s">
        <v>124</v>
      </c>
      <c r="G40" s="45" t="s">
        <v>115</v>
      </c>
      <c r="H40" s="46">
        <v>0.05</v>
      </c>
    </row>
    <row r="41" spans="2:8" ht="16.5" x14ac:dyDescent="0.3">
      <c r="E41" s="45" t="str">
        <f t="shared" si="2"/>
        <v>Agressivo-FOF's</v>
      </c>
      <c r="F41" s="45" t="s">
        <v>124</v>
      </c>
      <c r="G41" s="45" t="s">
        <v>116</v>
      </c>
      <c r="H41" s="46">
        <v>0.05</v>
      </c>
    </row>
    <row r="42" spans="2:8" ht="16.5" x14ac:dyDescent="0.3">
      <c r="E42" s="45" t="str">
        <f t="shared" si="2"/>
        <v>Agressivo-DESENVOLVIMENTO</v>
      </c>
      <c r="F42" s="45" t="s">
        <v>124</v>
      </c>
      <c r="G42" s="45" t="s">
        <v>118</v>
      </c>
      <c r="H42" s="46">
        <v>0.2</v>
      </c>
    </row>
    <row r="43" spans="2:8" ht="16.5" x14ac:dyDescent="0.3">
      <c r="E43" s="45" t="str">
        <f t="shared" si="2"/>
        <v>Agressivo-HOTELARIAS</v>
      </c>
      <c r="F43" s="45" t="s">
        <v>124</v>
      </c>
      <c r="G43" s="45" t="s">
        <v>117</v>
      </c>
      <c r="H43" s="46">
        <v>0.1</v>
      </c>
    </row>
    <row r="44" spans="2:8" x14ac:dyDescent="0.25"/>
    <row r="45" spans="2:8" x14ac:dyDescent="0.25"/>
    <row r="58" x14ac:dyDescent="0.25"/>
    <row r="59" x14ac:dyDescent="0.25"/>
    <row r="60" x14ac:dyDescent="0.25"/>
  </sheetData>
  <mergeCells count="7">
    <mergeCell ref="C34:D34"/>
    <mergeCell ref="B3:D3"/>
    <mergeCell ref="B8:D8"/>
    <mergeCell ref="B15:C15"/>
    <mergeCell ref="C22:D22"/>
    <mergeCell ref="C23:D23"/>
    <mergeCell ref="E24:H24"/>
  </mergeCells>
  <dataValidations count="1">
    <dataValidation type="list" allowBlank="1" showInputMessage="1" showErrorMessage="1" sqref="C22 C34" xr:uid="{D42C2E90-6094-437F-A47B-3D4FA4F97D48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7</vt:i4>
      </vt:variant>
    </vt:vector>
  </HeadingPairs>
  <TitlesOfParts>
    <vt:vector size="12" baseType="lpstr">
      <vt:lpstr>Aula 1</vt:lpstr>
      <vt:lpstr>Aula 2</vt:lpstr>
      <vt:lpstr>Aula 3</vt:lpstr>
      <vt:lpstr>Aula 4</vt:lpstr>
      <vt:lpstr>Projeto </vt:lpstr>
      <vt:lpstr>Anos</vt:lpstr>
      <vt:lpstr>Aporte</vt:lpstr>
      <vt:lpstr>Patrimonio</vt:lpstr>
      <vt:lpstr>Rendimento_Carteira</vt:lpstr>
      <vt:lpstr>Rendimento_Mensal</vt:lpstr>
      <vt:lpstr>Salario</vt:lpstr>
      <vt:lpstr>Sugestão_Investimento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Acaris Benetti</dc:creator>
  <cp:lastModifiedBy>Acaris Benetti</cp:lastModifiedBy>
  <dcterms:created xsi:type="dcterms:W3CDTF">2025-12-19T16:08:30Z</dcterms:created>
  <dcterms:modified xsi:type="dcterms:W3CDTF">2025-12-21T01:59:07Z</dcterms:modified>
</cp:coreProperties>
</file>