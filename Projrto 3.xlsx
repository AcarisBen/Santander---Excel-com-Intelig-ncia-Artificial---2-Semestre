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d28f28d4371bd1a/Área de Trabalho/"/>
    </mc:Choice>
  </mc:AlternateContent>
  <xr:revisionPtr revIDLastSave="1" documentId="8_{659559A1-5334-4E49-A407-8EA8470C2EC0}" xr6:coauthVersionLast="47" xr6:coauthVersionMax="47" xr10:uidLastSave="{EF3F9366-87BD-4D54-8C61-C46E0A3EDF4F}"/>
  <bookViews>
    <workbookView xWindow="-120" yWindow="-120" windowWidth="29040" windowHeight="15720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3" l="1"/>
  <c r="C17" i="3"/>
</calcChain>
</file>

<file path=xl/sharedStrings.xml><?xml version="1.0" encoding="utf-8"?>
<sst xmlns="http://schemas.openxmlformats.org/spreadsheetml/2006/main" count="2018" uniqueCount="320">
  <si>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</si>
  <si>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</si>
  <si>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</si>
  <si>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</si>
  <si>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</si>
  <si>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</si>
  <si>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</si>
  <si>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</si>
  <si>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</si>
  <si>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</si>
  <si>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</si>
  <si>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</si>
  <si>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</si>
  <si>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</si>
  <si>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</si>
  <si>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</si>
  <si>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</si>
  <si>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</si>
  <si>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</si>
  <si>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</si>
  <si>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</si>
  <si>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</si>
  <si>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</si>
  <si>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</si>
  <si>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</si>
  <si>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</si>
  <si>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</si>
  <si>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</si>
  <si>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</si>
  <si>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</si>
  <si>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</si>
  <si>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</si>
  <si>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</si>
  <si>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</si>
  <si>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</si>
  <si>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</si>
  <si>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</si>
  <si>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</si>
  <si>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</si>
  <si>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</si>
  <si>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</si>
  <si>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</si>
  <si>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</si>
  <si>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</si>
  <si>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</si>
  <si>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</si>
  <si>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</si>
  <si>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</si>
  <si>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</si>
  <si>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</si>
  <si>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</si>
  <si>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</si>
  <si>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</si>
  <si>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</si>
  <si>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</si>
  <si>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</si>
  <si>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</si>
  <si>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</si>
  <si>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</si>
  <si>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</si>
  <si>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</si>
  <si>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</si>
  <si>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</si>
  <si>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</si>
  <si>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</si>
  <si>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</si>
  <si>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</si>
  <si>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</si>
  <si>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</si>
  <si>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</si>
  <si>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</si>
  <si>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</si>
  <si>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</si>
  <si>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</si>
  <si>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</si>
  <si>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</si>
  <si>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</si>
  <si>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</si>
  <si>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</si>
  <si>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</si>
  <si>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</si>
  <si>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</si>
  <si>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</si>
  <si>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</si>
  <si>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</si>
  <si>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</si>
  <si>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</si>
  <si>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</si>
  <si>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</si>
  <si>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</si>
  <si>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</si>
  <si>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</si>
  <si>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</si>
  <si>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</si>
  <si>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</si>
  <si>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</si>
  <si>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</si>
  <si>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</si>
  <si>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</si>
  <si>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</si>
  <si>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</si>
  <si>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</si>
  <si>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</si>
  <si>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</si>
  <si>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</si>
  <si>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</si>
  <si>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</si>
  <si>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</si>
  <si>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</si>
  <si>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</si>
  <si>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</si>
  <si>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</si>
  <si>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</si>
  <si>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</si>
  <si>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</si>
  <si>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</si>
  <si>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</si>
  <si>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</si>
  <si>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</si>
  <si>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</si>
  <si>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</si>
  <si>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</si>
  <si>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</si>
  <si>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</si>
  <si>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</si>
  <si>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</si>
  <si>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</si>
  <si>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</si>
  <si>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</si>
  <si>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</si>
  <si>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</si>
  <si>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</si>
  <si>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</si>
  <si>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</si>
  <si>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</si>
  <si>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</si>
  <si>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</si>
  <si>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</si>
  <si>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</si>
  <si>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</si>
  <si>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</si>
  <si>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</si>
  <si>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</si>
  <si>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</si>
  <si>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</si>
  <si>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</si>
  <si>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</si>
  <si>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</si>
  <si>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</si>
  <si>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</si>
  <si>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</si>
  <si>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</si>
  <si>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</si>
  <si>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</si>
  <si>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</si>
  <si>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</si>
  <si>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</si>
  <si>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</si>
  <si>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</si>
  <si>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</si>
  <si>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</si>
  <si>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</si>
  <si>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</si>
  <si>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</si>
  <si>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</si>
  <si>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</si>
  <si>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</si>
  <si>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</si>
  <si>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</si>
  <si>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</si>
  <si>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</si>
  <si>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</si>
  <si>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</si>
  <si>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</si>
  <si>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</si>
  <si>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</si>
  <si>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</si>
  <si>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</si>
  <si>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</si>
  <si>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</si>
  <si>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</si>
  <si>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</si>
  <si>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</si>
  <si>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</si>
  <si>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</si>
  <si>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</si>
  <si>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</si>
  <si>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</si>
  <si>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</si>
  <si>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</si>
  <si>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</si>
  <si>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</si>
  <si>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</si>
  <si>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</si>
  <si>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</si>
  <si>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</si>
  <si>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</si>
  <si>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</si>
  <si>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</si>
  <si>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</si>
  <si>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</si>
  <si>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</si>
  <si>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</si>
  <si>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</si>
  <si>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</si>
  <si>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</si>
  <si>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</si>
  <si>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</si>
  <si>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</si>
  <si>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</si>
  <si>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</si>
  <si>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</si>
  <si>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</si>
  <si>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</si>
  <si>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</si>
  <si>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</si>
  <si>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</si>
  <si>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</si>
  <si>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</si>
  <si>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</si>
  <si>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</si>
  <si>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</si>
  <si>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</si>
  <si>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</si>
  <si>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</si>
  <si>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</si>
  <si>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</si>
  <si>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</si>
  <si>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</si>
  <si>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</si>
  <si>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</si>
  <si>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</si>
  <si>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</si>
  <si>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</si>
  <si>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</si>
  <si>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</si>
  <si>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</si>
  <si>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</si>
  <si>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</si>
  <si>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</si>
  <si>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</si>
  <si>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</si>
  <si>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</si>
  <si>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</si>
  <si>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</si>
  <si>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</si>
  <si>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</si>
  <si>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</si>
  <si>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</si>
  <si>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</si>
  <si>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</si>
  <si>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</si>
  <si>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</si>
  <si>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</si>
  <si>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</si>
  <si>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</si>
  <si>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</si>
  <si>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</si>
  <si>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</si>
  <si>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</si>
  <si>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</si>
  <si>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</si>
  <si>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</si>
  <si>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</si>
  <si>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</si>
  <si>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</si>
  <si>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</si>
  <si>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</si>
  <si>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</si>
  <si>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</si>
  <si>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</si>
  <si>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</si>
  <si>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</si>
  <si>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</si>
  <si>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</si>
  <si>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</si>
  <si>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</si>
  <si>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</si>
  <si>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</si>
  <si>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</si>
  <si>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</si>
  <si>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</si>
  <si>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</si>
  <si>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</si>
  <si>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</si>
  <si>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</si>
  <si>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</si>
  <si>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</si>
  <si>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</si>
  <si>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</si>
  <si>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</si>
  <si>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</si>
  <si>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</si>
  <si>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</si>
  <si>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</si>
  <si>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</si>
  <si>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</si>
  <si>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</si>
  <si>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</si>
  <si>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</si>
  <si>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</si>
  <si>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</si>
  <si>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</si>
  <si>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</si>
  <si>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</si>
  <si>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</si>
  <si>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</si>
  <si>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</si>
  <si>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</si>
  <si>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</si>
  <si>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</si>
  <si>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</si>
  <si>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</si>
  <si>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</si>
  <si>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</si>
  <si>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</si>
  <si>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XBOX GAME PASS SUBSCRIPTION TYPE</t>
  </si>
  <si>
    <t>Soma de EA Play Season Pass</t>
  </si>
  <si>
    <t>Soma de Minecraft Season Pass Price</t>
  </si>
  <si>
    <t>Calculation period: 01/01/2024 - 31/12/2024 | Update date: 08/01/2025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</si>
</sst>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22C55E"/>
      <name val="Aptos Narrow"/>
      <family val="2"/>
      <scheme val="minor"/>
    </font>
    <font>
      <sz val="14"/>
      <color theme="1" tint="0.34998626667073579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CBA3D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/>
    </xf>
    <xf numFmtId="0" fontId="4" fillId="0" borderId="2" xfId="1" applyFont="1" applyBorder="1" applyAlignment="1">
      <alignment vertical="center"/>
    </xf>
    <xf numFmtId="0" fontId="0" fillId="0" borderId="2" xfId="0" applyBorder="1" applyAlignment="1">
      <alignment vertical="center"/>
    </xf>
    <xf numFmtId="0" fontId="5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3 2" pivot="0" table="0" count="10" xr9:uid="{45D4E800-2967-4200-8405-F998A0E899FD}">
      <tableStyleElement type="wholeTable" dxfId="1"/>
      <tableStyleElement type="headerRow" dxfId="0"/>
    </tableStyle>
  </tableStyles>
  <colors>
    <mruColors>
      <color rgb="FF2CBA3D"/>
      <color rgb="FF22C55E"/>
      <color rgb="FF2AE6B1"/>
      <color rgb="FFE8E6E9"/>
      <color rgb="FF5BF6A8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patternFill patternType="solid">
              <fgColor rgb="FF22C55E"/>
              <bgColor rgb="FF2CBA3D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[Projrto 3.xlsx]C̳álculos!tbl_annual_total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22C55E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3868404398823737E-2"/>
          <c:y val="1.4983656016787358E-2"/>
          <c:w val="0.90690755518760902"/>
          <c:h val="0.9340719135261356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22C55E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498-451B-B54F-A76E95FCD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072207"/>
        <c:axId val="80055887"/>
      </c:barChart>
      <c:catAx>
        <c:axId val="800722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80055887"/>
        <c:crosses val="autoZero"/>
        <c:auto val="1"/>
        <c:lblAlgn val="ctr"/>
        <c:lblOffset val="100"/>
        <c:noMultiLvlLbl val="0"/>
      </c:catAx>
      <c:valAx>
        <c:axId val="800558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0072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8.png"/><Relationship Id="rId7" Type="http://schemas.microsoft.com/office/2007/relationships/hdphoto" Target="../media/hdphoto1.wdp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11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898430</xdr:colOff>
      <xdr:row>0</xdr:row>
      <xdr:rowOff>166013</xdr:rowOff>
    </xdr:from>
    <xdr:to>
      <xdr:col>0</xdr:col>
      <xdr:colOff>1970976</xdr:colOff>
      <xdr:row>2</xdr:row>
      <xdr:rowOff>431000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7B00F9-4DC1-4ECC-A127-15219F1CC6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942"/>
        <a:stretch/>
      </xdr:blipFill>
      <xdr:spPr>
        <a:xfrm>
          <a:off x="898430" y="166013"/>
          <a:ext cx="1072546" cy="1054201"/>
        </a:xfrm>
        <a:prstGeom prst="rect">
          <a:avLst/>
        </a:prstGeom>
        <a:effectLst>
          <a:reflection blurRad="6350" stA="50000" endA="300" endPos="90000" dist="50800" dir="5400000" sy="-100000" algn="bl" rotWithShape="0"/>
        </a:effectLst>
      </xdr:spPr>
    </xdr:pic>
    <xdr:clientData/>
  </xdr:twoCellAnchor>
  <xdr:twoCellAnchor editAs="absolute">
    <xdr:from>
      <xdr:col>0</xdr:col>
      <xdr:colOff>62932</xdr:colOff>
      <xdr:row>11</xdr:row>
      <xdr:rowOff>59532</xdr:rowOff>
    </xdr:from>
    <xdr:to>
      <xdr:col>0</xdr:col>
      <xdr:colOff>2797968</xdr:colOff>
      <xdr:row>19</xdr:row>
      <xdr:rowOff>130970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EC19AA53-8C1B-4D65-9D56-91AEE593087E}"/>
            </a:ext>
          </a:extLst>
        </xdr:cNvPr>
        <xdr:cNvSpPr/>
      </xdr:nvSpPr>
      <xdr:spPr>
        <a:xfrm>
          <a:off x="62932" y="2917032"/>
          <a:ext cx="2735036" cy="1595438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176334</xdr:colOff>
      <xdr:row>12</xdr:row>
      <xdr:rowOff>40994</xdr:rowOff>
    </xdr:from>
    <xdr:to>
      <xdr:col>0</xdr:col>
      <xdr:colOff>2704146</xdr:colOff>
      <xdr:row>18</xdr:row>
      <xdr:rowOff>176723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2C34F46D-5F93-4F74-9A91-3E219E5807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6334" y="3088994"/>
              <a:ext cx="2527812" cy="12787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1</xdr:col>
      <xdr:colOff>226217</xdr:colOff>
      <xdr:row>5</xdr:row>
      <xdr:rowOff>23885</xdr:rowOff>
    </xdr:from>
    <xdr:to>
      <xdr:col>7</xdr:col>
      <xdr:colOff>571500</xdr:colOff>
      <xdr:row>15</xdr:row>
      <xdr:rowOff>122897</xdr:rowOff>
    </xdr:to>
    <xdr:grpSp>
      <xdr:nvGrpSpPr>
        <xdr:cNvPr id="31" name="Agrupar 30">
          <a:extLst>
            <a:ext uri="{FF2B5EF4-FFF2-40B4-BE49-F238E27FC236}">
              <a16:creationId xmlns:a16="http://schemas.microsoft.com/office/drawing/2014/main" id="{D15F9849-6BA4-35DF-2E02-CF24C54D85FE}"/>
            </a:ext>
          </a:extLst>
        </xdr:cNvPr>
        <xdr:cNvGrpSpPr/>
      </xdr:nvGrpSpPr>
      <xdr:grpSpPr>
        <a:xfrm>
          <a:off x="3072511" y="1738385"/>
          <a:ext cx="6127518" cy="2004012"/>
          <a:chOff x="3071811" y="1738385"/>
          <a:chExt cx="6150154" cy="2004012"/>
        </a:xfrm>
      </xdr:grpSpPr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CAD593E7-19AF-C047-4142-FD3289D30949}"/>
              </a:ext>
            </a:extLst>
          </xdr:cNvPr>
          <xdr:cNvGrpSpPr/>
        </xdr:nvGrpSpPr>
        <xdr:grpSpPr>
          <a:xfrm>
            <a:off x="3071811" y="1738385"/>
            <a:ext cx="6150154" cy="1778460"/>
            <a:chOff x="2214561" y="2262188"/>
            <a:chExt cx="6150154" cy="1137734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B2E43E37-66FE-4746-10A3-5D520747C2A4}"/>
                </a:ext>
              </a:extLst>
            </xdr:cNvPr>
            <xdr:cNvSpPr/>
          </xdr:nvSpPr>
          <xdr:spPr>
            <a:xfrm>
              <a:off x="2214561" y="2271438"/>
              <a:ext cx="6142608" cy="1128484"/>
            </a:xfrm>
            <a:prstGeom prst="roundRect">
              <a:avLst>
                <a:gd name="adj" fmla="val 10117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5F6488EC-0939-9D18-62EB-26968E877C33}"/>
                </a:ext>
              </a:extLst>
            </xdr:cNvPr>
            <xdr:cNvSpPr/>
          </xdr:nvSpPr>
          <xdr:spPr>
            <a:xfrm>
              <a:off x="2214562" y="2262188"/>
              <a:ext cx="6150153" cy="4375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sp macro="" textlink="C̳álculos!C17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FFC2DEFB-6F53-DE29-3FDE-A49148306A45}"/>
              </a:ext>
            </a:extLst>
          </xdr:cNvPr>
          <xdr:cNvSpPr/>
        </xdr:nvSpPr>
        <xdr:spPr>
          <a:xfrm>
            <a:off x="6839252" y="2702575"/>
            <a:ext cx="2190750" cy="609873"/>
          </a:xfrm>
          <a:prstGeom prst="roundRect">
            <a:avLst>
              <a:gd name="adj" fmla="val 10117"/>
            </a:avLst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fld id="{DA5081DE-5D3B-4E98-8848-136A3566E127}" type="TxLink">
              <a:rPr lang="en-US" sz="2800" b="1" i="0" u="none" strike="noStrike" kern="1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2800" b="1" kern="12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C14C2694-5693-4586-A20B-586638DEA5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84833" y="2272626"/>
            <a:ext cx="1341120" cy="1469771"/>
          </a:xfrm>
          <a:prstGeom prst="rect">
            <a:avLst/>
          </a:prstGeom>
        </xdr:spPr>
      </xdr:pic>
    </xdr:grpSp>
    <xdr:clientData/>
  </xdr:twoCellAnchor>
  <xdr:twoCellAnchor editAs="absolute">
    <xdr:from>
      <xdr:col>11</xdr:col>
      <xdr:colOff>537470</xdr:colOff>
      <xdr:row>5</xdr:row>
      <xdr:rowOff>23812</xdr:rowOff>
    </xdr:from>
    <xdr:to>
      <xdr:col>17</xdr:col>
      <xdr:colOff>22409</xdr:colOff>
      <xdr:row>14</xdr:row>
      <xdr:rowOff>87919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AE326F0-3F8C-211E-10E5-36E40011EF6A}"/>
            </a:ext>
          </a:extLst>
        </xdr:cNvPr>
        <xdr:cNvGrpSpPr/>
      </xdr:nvGrpSpPr>
      <xdr:grpSpPr>
        <a:xfrm>
          <a:off x="13603529" y="1738312"/>
          <a:ext cx="6141233" cy="1778607"/>
          <a:chOff x="7714868" y="1738312"/>
          <a:chExt cx="5033710" cy="1778607"/>
        </a:xfrm>
      </xdr:grpSpPr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16B496DE-43CB-26FE-3DDF-51EA57A192CA}"/>
              </a:ext>
            </a:extLst>
          </xdr:cNvPr>
          <xdr:cNvGrpSpPr/>
        </xdr:nvGrpSpPr>
        <xdr:grpSpPr>
          <a:xfrm>
            <a:off x="7714868" y="1738312"/>
            <a:ext cx="5033710" cy="1778607"/>
            <a:chOff x="6748461" y="2271713"/>
            <a:chExt cx="5033710" cy="1126450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5C58B33B-78EA-D80B-2C2C-5A0D20CF1420}"/>
                </a:ext>
              </a:extLst>
            </xdr:cNvPr>
            <xdr:cNvSpPr/>
          </xdr:nvSpPr>
          <xdr:spPr>
            <a:xfrm>
              <a:off x="6748461" y="2280964"/>
              <a:ext cx="5016305" cy="1117199"/>
            </a:xfrm>
            <a:prstGeom prst="roundRect">
              <a:avLst>
                <a:gd name="adj" fmla="val 10117"/>
              </a:avLst>
            </a:prstGeom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">
          <xdr:nvSpPr>
            <xdr:cNvPr id="18" name="Retângulo: Cantos Superiores Arredondados 17">
              <a:extLst>
                <a:ext uri="{FF2B5EF4-FFF2-40B4-BE49-F238E27FC236}">
                  <a16:creationId xmlns:a16="http://schemas.microsoft.com/office/drawing/2014/main" id="{B1602DE5-4659-058B-7F3F-81C92D6C4ECB}"/>
                </a:ext>
              </a:extLst>
            </xdr:cNvPr>
            <xdr:cNvSpPr/>
          </xdr:nvSpPr>
          <xdr:spPr>
            <a:xfrm>
              <a:off x="6748462" y="2271713"/>
              <a:ext cx="5033709" cy="4332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SEASON PASS</a:t>
              </a:r>
            </a:p>
          </xdr:txBody>
        </xdr:sp>
      </xdr:grpSp>
      <xdr:sp macro="" textlink="C̳álculos!C28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CF4F1246-CAC8-2D5A-6BF0-2D7B86744BAE}"/>
              </a:ext>
            </a:extLst>
          </xdr:cNvPr>
          <xdr:cNvSpPr/>
        </xdr:nvSpPr>
        <xdr:spPr>
          <a:xfrm>
            <a:off x="10400979" y="2702575"/>
            <a:ext cx="2190750" cy="609873"/>
          </a:xfrm>
          <a:prstGeom prst="roundRect">
            <a:avLst>
              <a:gd name="adj" fmla="val 10117"/>
            </a:avLst>
          </a:prstGeom>
          <a:noFill/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algn="ctr"/>
            <a:fld id="{DC4D0242-C6F9-428B-9420-B7C9F21A57EE}" type="TxLink">
              <a:rPr lang="en-US" sz="2800" b="1" i="0" u="none" strike="noStrike" kern="1200">
                <a:solidFill>
                  <a:srgbClr val="22C55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R$ 1.140,00</a:t>
            </a:fld>
            <a:endParaRPr lang="pt-BR" sz="2800" b="1" i="0" u="none" strike="noStrike" kern="1200">
              <a:solidFill>
                <a:srgbClr val="22C55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C08051B5-B737-4DD5-811D-A046583C5908}"/>
              </a:ext>
            </a:extLst>
          </xdr:cNvPr>
          <xdr:cNvGrpSpPr/>
        </xdr:nvGrpSpPr>
        <xdr:grpSpPr>
          <a:xfrm>
            <a:off x="7901757" y="2696571"/>
            <a:ext cx="1280559" cy="621881"/>
            <a:chOff x="3495675" y="5400674"/>
            <a:chExt cx="1549476" cy="75247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C0DC6C1A-8EDE-B81E-D92C-946B624120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668C20A5-A596-0047-6D54-98461FD14ED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0</xdr:colOff>
      <xdr:row>37</xdr:row>
      <xdr:rowOff>102053</xdr:rowOff>
    </xdr:from>
    <xdr:to>
      <xdr:col>0</xdr:col>
      <xdr:colOff>988219</xdr:colOff>
      <xdr:row>43</xdr:row>
      <xdr:rowOff>27214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A338ACB9-D275-4C24-9474-5BE115784455}"/>
            </a:ext>
          </a:extLst>
        </xdr:cNvPr>
        <xdr:cNvSpPr/>
      </xdr:nvSpPr>
      <xdr:spPr>
        <a:xfrm>
          <a:off x="0" y="7966982"/>
          <a:ext cx="988219" cy="1068161"/>
        </a:xfrm>
        <a:prstGeom prst="ellipse">
          <a:avLst/>
        </a:prstGeom>
        <a:blipFill>
          <a:blip xmlns:r="http://schemas.openxmlformats.org/officeDocument/2006/relationships" r:embed="rId6">
            <a:extLst>
              <a:ext uri="{BEBA8EAE-BF5A-486C-A8C5-ECC9F3942E4B}">
                <a14:imgProps xmlns:a14="http://schemas.microsoft.com/office/drawing/2010/main">
                  <a14:imgLayer r:embed="rId7">
                    <a14:imgEffect>
                      <a14:backgroundRemoval t="10000" b="90000" l="10000" r="90000"/>
                    </a14:imgEffect>
                  </a14:imgLayer>
                </a14:imgProps>
              </a:ext>
            </a:extLst>
          </a:blip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833435</xdr:colOff>
      <xdr:row>34</xdr:row>
      <xdr:rowOff>110558</xdr:rowOff>
    </xdr:from>
    <xdr:to>
      <xdr:col>0</xdr:col>
      <xdr:colOff>2558142</xdr:colOff>
      <xdr:row>37</xdr:row>
      <xdr:rowOff>13606</xdr:rowOff>
    </xdr:to>
    <xdr:sp macro="" textlink="">
      <xdr:nvSpPr>
        <xdr:cNvPr id="27" name="Balão de Fala: Retângulo com Cantos Arredondados 26">
          <a:extLst>
            <a:ext uri="{FF2B5EF4-FFF2-40B4-BE49-F238E27FC236}">
              <a16:creationId xmlns:a16="http://schemas.microsoft.com/office/drawing/2014/main" id="{A4AE33FE-AB07-1362-F1DA-A81F1747827A}"/>
            </a:ext>
          </a:extLst>
        </xdr:cNvPr>
        <xdr:cNvSpPr/>
      </xdr:nvSpPr>
      <xdr:spPr>
        <a:xfrm>
          <a:off x="833435" y="7349558"/>
          <a:ext cx="1724707" cy="545986"/>
        </a:xfrm>
        <a:prstGeom prst="wedgeRoundRectCallout">
          <a:avLst>
            <a:gd name="adj1" fmla="val -52892"/>
            <a:gd name="adj2" fmla="val 150575"/>
            <a:gd name="adj3" fmla="val 16667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kern="12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 vindo!</a:t>
          </a:r>
        </a:p>
      </xdr:txBody>
    </xdr:sp>
    <xdr:clientData/>
  </xdr:twoCellAnchor>
  <xdr:twoCellAnchor>
    <xdr:from>
      <xdr:col>1</xdr:col>
      <xdr:colOff>225592</xdr:colOff>
      <xdr:row>15</xdr:row>
      <xdr:rowOff>64975</xdr:rowOff>
    </xdr:from>
    <xdr:to>
      <xdr:col>17</xdr:col>
      <xdr:colOff>11206</xdr:colOff>
      <xdr:row>39</xdr:row>
      <xdr:rowOff>185058</xdr:rowOff>
    </xdr:to>
    <xdr:grpSp>
      <xdr:nvGrpSpPr>
        <xdr:cNvPr id="35" name="Agrupar 34">
          <a:extLst>
            <a:ext uri="{FF2B5EF4-FFF2-40B4-BE49-F238E27FC236}">
              <a16:creationId xmlns:a16="http://schemas.microsoft.com/office/drawing/2014/main" id="{8687A4B3-22DF-C5B5-BDA8-74A898C53039}"/>
            </a:ext>
          </a:extLst>
        </xdr:cNvPr>
        <xdr:cNvGrpSpPr/>
      </xdr:nvGrpSpPr>
      <xdr:grpSpPr>
        <a:xfrm>
          <a:off x="3071886" y="3684475"/>
          <a:ext cx="16661673" cy="4759318"/>
          <a:chOff x="3071886" y="3684475"/>
          <a:chExt cx="16661673" cy="4759318"/>
        </a:xfrm>
      </xdr:grpSpPr>
      <xdr:grpSp>
        <xdr:nvGrpSpPr>
          <xdr:cNvPr id="9" name="Agrupar 8">
            <a:extLst>
              <a:ext uri="{FF2B5EF4-FFF2-40B4-BE49-F238E27FC236}">
                <a16:creationId xmlns:a16="http://schemas.microsoft.com/office/drawing/2014/main" id="{CD7A0E6D-77BF-C98F-4CA3-6F66918569B4}"/>
              </a:ext>
            </a:extLst>
          </xdr:cNvPr>
          <xdr:cNvGrpSpPr/>
        </xdr:nvGrpSpPr>
        <xdr:grpSpPr>
          <a:xfrm>
            <a:off x="3072512" y="3684475"/>
            <a:ext cx="16638635" cy="4759318"/>
            <a:chOff x="2190749" y="4747939"/>
            <a:chExt cx="4211184" cy="2726532"/>
          </a:xfrm>
          <a:solidFill>
            <a:schemeClr val="bg1"/>
          </a:solidFill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6FD6075-8D10-B606-53E9-3B9A3B55E5ED}"/>
                </a:ext>
              </a:extLst>
            </xdr:cNvPr>
            <xdr:cNvSpPr/>
          </xdr:nvSpPr>
          <xdr:spPr>
            <a:xfrm>
              <a:off x="2190749" y="4747939"/>
              <a:ext cx="4211184" cy="2726532"/>
            </a:xfrm>
            <a:prstGeom prst="roundRect">
              <a:avLst>
                <a:gd name="adj" fmla="val 3130"/>
              </a:avLst>
            </a:prstGeom>
            <a:grpFill/>
            <a:ln>
              <a:noFill/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70D027A8-D186-44ED-B03C-72E85DFCB396}"/>
                </a:ext>
              </a:extLst>
            </xdr:cNvPr>
            <xdr:cNvGraphicFramePr>
              <a:graphicFrameLocks/>
            </xdr:cNvGraphicFramePr>
          </xdr:nvGraphicFramePr>
          <xdr:xfrm>
            <a:off x="2238375" y="5221281"/>
            <a:ext cx="4083843" cy="217803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</xdr:grp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35377B44-316E-4C9D-B3A4-3687D4AE1A64}"/>
              </a:ext>
            </a:extLst>
          </xdr:cNvPr>
          <xdr:cNvSpPr/>
        </xdr:nvSpPr>
        <xdr:spPr>
          <a:xfrm>
            <a:off x="3071886" y="3684475"/>
            <a:ext cx="16661673" cy="684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D17F3676-D269-5857-FD2A-BEA2910211E7}"/>
              </a:ext>
            </a:extLst>
          </xdr:cNvPr>
          <xdr:cNvSpPr/>
        </xdr:nvSpPr>
        <xdr:spPr>
          <a:xfrm>
            <a:off x="4191000" y="6241676"/>
            <a:ext cx="549088" cy="201706"/>
          </a:xfrm>
          <a:prstGeom prst="round2Same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sung" refreshedDate="46030.907259953703" createdVersion="8" refreshedVersion="8" minRefreshableVersion="3" recordCount="295" xr:uid="{241741F6-A19E-4B59-80A8-6B8505F47AD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595056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C5814-5CBB-4587-8013-E2BE80256CFA}" name="Tabela dinâmica6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3:B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E11BEA-4CF8-496C-BF23-6047713EBBBB}" name="tbl_EA_season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12:B1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23F964-A5CF-485F-81A1-7CB2E4F4843A}" name="tbl_annual_total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B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1FB7E3A-10B4-4994-B8A0-D7B5A2F7591C}" sourceName="Subscription Type">
  <pivotTables>
    <pivotTable tabId="3" name="tbl_annual_total"/>
    <pivotTable tabId="3" name="tbl_EA_season"/>
    <pivotTable tabId="3" name="Tabela dinâmica6"/>
  </pivotTables>
  <data>
    <tabular pivotCacheId="659505629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043ECFF-3EBB-4DAB-B566-B61399003026}" cache="SegmentaçãodeDados_Subscription_Type" caption="Subscription Type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2">
      <filters>
        <filter val="Ultimate"/>
      </filters>
    </filterColumn>
    <filterColumn colId="6">
      <filters>
        <filter val="Annual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14" sqref="D14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="90" zoomScaleNormal="90" workbookViewId="0">
      <selection activeCell="C2" sqref="C2:C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C28"/>
  <sheetViews>
    <sheetView showGridLines="0" topLeftCell="B1" workbookViewId="0">
      <selection activeCell="C28" sqref="C28"/>
    </sheetView>
  </sheetViews>
  <sheetFormatPr defaultRowHeight="15" x14ac:dyDescent="0.25"/>
  <cols>
    <col min="1" max="1" width="18.42578125" bestFit="1" customWidth="1"/>
    <col min="2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2" x14ac:dyDescent="0.25">
      <c r="A1" s="12" t="s">
        <v>16</v>
      </c>
      <c r="B1" t="s">
        <v>27</v>
      </c>
    </row>
    <row r="3" spans="1:2" x14ac:dyDescent="0.25">
      <c r="A3" s="12" t="s">
        <v>313</v>
      </c>
      <c r="B3" t="s">
        <v>315</v>
      </c>
    </row>
    <row r="4" spans="1:2" x14ac:dyDescent="0.25">
      <c r="A4" s="13" t="s">
        <v>23</v>
      </c>
      <c r="B4" s="14">
        <v>806</v>
      </c>
    </row>
    <row r="5" spans="1:2" x14ac:dyDescent="0.25">
      <c r="A5" s="13" t="s">
        <v>19</v>
      </c>
      <c r="B5" s="14">
        <v>1502</v>
      </c>
    </row>
    <row r="6" spans="1:2" x14ac:dyDescent="0.25">
      <c r="A6" s="13" t="s">
        <v>314</v>
      </c>
      <c r="B6" s="14">
        <v>2308</v>
      </c>
    </row>
    <row r="10" spans="1:2" x14ac:dyDescent="0.25">
      <c r="A10" s="12" t="s">
        <v>16</v>
      </c>
      <c r="B10" t="s">
        <v>27</v>
      </c>
    </row>
    <row r="12" spans="1:2" x14ac:dyDescent="0.25">
      <c r="A12" s="12" t="s">
        <v>313</v>
      </c>
      <c r="B12" t="s">
        <v>317</v>
      </c>
    </row>
    <row r="13" spans="1:2" x14ac:dyDescent="0.25">
      <c r="A13" s="13" t="s">
        <v>22</v>
      </c>
      <c r="B13" s="15">
        <v>0</v>
      </c>
    </row>
    <row r="14" spans="1:2" x14ac:dyDescent="0.25">
      <c r="A14" s="13" t="s">
        <v>26</v>
      </c>
      <c r="B14" s="15">
        <v>0</v>
      </c>
    </row>
    <row r="15" spans="1:2" x14ac:dyDescent="0.25">
      <c r="A15" s="13" t="s">
        <v>18</v>
      </c>
      <c r="B15" s="15">
        <v>990</v>
      </c>
    </row>
    <row r="16" spans="1:2" x14ac:dyDescent="0.25">
      <c r="A16" s="13" t="s">
        <v>314</v>
      </c>
      <c r="B16" s="15">
        <v>990</v>
      </c>
    </row>
    <row r="17" spans="1:3" x14ac:dyDescent="0.25">
      <c r="C17" s="16">
        <f>GETPIVOTDATA("EA Play Season Pass
Price",$A$12)</f>
        <v>990</v>
      </c>
    </row>
    <row r="21" spans="1:3" x14ac:dyDescent="0.25">
      <c r="A21" s="12" t="s">
        <v>16</v>
      </c>
      <c r="B21" t="s">
        <v>27</v>
      </c>
    </row>
    <row r="23" spans="1:3" x14ac:dyDescent="0.25">
      <c r="A23" s="12" t="s">
        <v>313</v>
      </c>
      <c r="B23" t="s">
        <v>318</v>
      </c>
    </row>
    <row r="24" spans="1:3" x14ac:dyDescent="0.25">
      <c r="A24" s="13" t="s">
        <v>22</v>
      </c>
      <c r="B24" s="14">
        <v>0</v>
      </c>
    </row>
    <row r="25" spans="1:3" x14ac:dyDescent="0.25">
      <c r="A25" s="13" t="s">
        <v>26</v>
      </c>
      <c r="B25" s="14">
        <v>480</v>
      </c>
    </row>
    <row r="26" spans="1:3" x14ac:dyDescent="0.25">
      <c r="A26" s="13" t="s">
        <v>18</v>
      </c>
      <c r="B26" s="14">
        <v>660</v>
      </c>
    </row>
    <row r="27" spans="1:3" x14ac:dyDescent="0.25">
      <c r="A27" s="13" t="s">
        <v>314</v>
      </c>
      <c r="B27" s="14">
        <v>1140</v>
      </c>
    </row>
    <row r="28" spans="1:3" x14ac:dyDescent="0.25">
      <c r="C28" s="16">
        <f>GETPIVOTDATA("Minecraft Season Pass Price",$A$23)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89"/>
  <sheetViews>
    <sheetView showGridLines="0" showRowColHeaders="0" tabSelected="1" zoomScale="85" zoomScaleNormal="85" workbookViewId="0">
      <selection activeCell="A22" sqref="A22"/>
    </sheetView>
  </sheetViews>
  <sheetFormatPr defaultColWidth="0" defaultRowHeight="15" zeroHeight="1" x14ac:dyDescent="0.25"/>
  <cols>
    <col min="1" max="1" width="42.7109375" style="4" customWidth="1"/>
    <col min="2" max="2" width="3.5703125" customWidth="1"/>
    <col min="3" max="18" width="16.5703125" customWidth="1"/>
    <col min="19" max="19" width="11" customWidth="1"/>
    <col min="20" max="16384" width="9.140625" hidden="1"/>
  </cols>
  <sheetData>
    <row r="1" spans="1:17" ht="20.25" customHeight="1" x14ac:dyDescent="0.25"/>
    <row r="2" spans="1:17" ht="42" customHeight="1" thickBot="1" x14ac:dyDescent="0.3">
      <c r="C2" s="18" t="s">
        <v>316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9"/>
      <c r="O2" s="19"/>
      <c r="P2" s="19"/>
      <c r="Q2" s="19"/>
    </row>
    <row r="3" spans="1:17" ht="42" customHeight="1" thickTop="1" x14ac:dyDescent="0.25">
      <c r="E3" s="17"/>
    </row>
    <row r="4" spans="1:17" s="7" customFormat="1" x14ac:dyDescent="0.25">
      <c r="A4" s="4"/>
    </row>
    <row r="5" spans="1:17" s="7" customFormat="1" x14ac:dyDescent="0.25">
      <c r="A5" s="4"/>
    </row>
    <row r="6" spans="1:17" s="7" customFormat="1" x14ac:dyDescent="0.25">
      <c r="A6" s="4"/>
    </row>
    <row r="7" spans="1:17" s="7" customFormat="1" x14ac:dyDescent="0.25">
      <c r="A7" s="4"/>
    </row>
    <row r="8" spans="1:17" s="7" customFormat="1" x14ac:dyDescent="0.25">
      <c r="A8" s="4"/>
    </row>
    <row r="9" spans="1:17" s="7" customFormat="1" x14ac:dyDescent="0.25">
      <c r="A9" s="4"/>
    </row>
    <row r="10" spans="1:17" s="7" customFormat="1" x14ac:dyDescent="0.25">
      <c r="A10" s="4"/>
    </row>
    <row r="11" spans="1:17" s="7" customFormat="1" x14ac:dyDescent="0.25">
      <c r="A11" s="4"/>
    </row>
    <row r="12" spans="1:17" s="7" customFormat="1" x14ac:dyDescent="0.25">
      <c r="A12" s="4"/>
    </row>
    <row r="13" spans="1:17" s="7" customFormat="1" x14ac:dyDescent="0.25">
      <c r="A13" s="4"/>
    </row>
    <row r="14" spans="1:17" s="7" customFormat="1" x14ac:dyDescent="0.25">
      <c r="A14" s="4"/>
    </row>
    <row r="15" spans="1:17" s="7" customFormat="1" x14ac:dyDescent="0.25">
      <c r="A15" s="4"/>
    </row>
    <row r="16" spans="1:1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3" s="7" customFormat="1" x14ac:dyDescent="0.25">
      <c r="A33" s="4"/>
    </row>
    <row r="34" spans="1:3" s="7" customFormat="1" x14ac:dyDescent="0.25">
      <c r="A34" s="4"/>
    </row>
    <row r="35" spans="1:3" s="7" customFormat="1" x14ac:dyDescent="0.25">
      <c r="A35" s="4"/>
    </row>
    <row r="36" spans="1:3" s="7" customFormat="1" x14ac:dyDescent="0.25">
      <c r="A36" s="4"/>
    </row>
    <row r="37" spans="1:3" s="7" customFormat="1" ht="20.25" x14ac:dyDescent="0.35">
      <c r="A37" s="4"/>
      <c r="C37" s="20" t="s">
        <v>319</v>
      </c>
    </row>
    <row r="38" spans="1:3" s="7" customFormat="1" x14ac:dyDescent="0.25">
      <c r="A38" s="4"/>
    </row>
    <row r="39" spans="1:3" s="7" customFormat="1" x14ac:dyDescent="0.25">
      <c r="A39" s="4"/>
    </row>
    <row r="40" spans="1:3" s="7" customFormat="1" x14ac:dyDescent="0.25">
      <c r="A40" s="4"/>
    </row>
    <row r="41" spans="1:3" s="7" customFormat="1" x14ac:dyDescent="0.25">
      <c r="A41" s="4"/>
    </row>
    <row r="42" spans="1:3" s="7" customFormat="1" x14ac:dyDescent="0.25">
      <c r="A42" s="4"/>
    </row>
    <row r="43" spans="1:3" s="7" customFormat="1" x14ac:dyDescent="0.25">
      <c r="A43" s="4"/>
    </row>
    <row r="44" spans="1:3" s="7" customFormat="1" x14ac:dyDescent="0.25">
      <c r="A44" s="4"/>
    </row>
    <row r="45" spans="1:3" s="7" customFormat="1" x14ac:dyDescent="0.25">
      <c r="A45" s="4"/>
    </row>
    <row r="46" spans="1:3" s="7" customFormat="1" x14ac:dyDescent="0.25">
      <c r="A46" s="4"/>
    </row>
    <row r="47" spans="1:3" s="7" customFormat="1" x14ac:dyDescent="0.25">
      <c r="A47" s="4"/>
    </row>
    <row r="48" spans="1:3" s="7" customFormat="1" x14ac:dyDescent="0.25">
      <c r="A48" s="4"/>
    </row>
    <row r="49" spans="1:1" s="7" customFormat="1" x14ac:dyDescent="0.25">
      <c r="A49" s="4"/>
    </row>
    <row r="50" spans="1:1" s="7" customFormat="1" hidden="1" x14ac:dyDescent="0.25">
      <c r="A50" s="4"/>
    </row>
    <row r="51" spans="1:1" s="7" customFormat="1" hidden="1" x14ac:dyDescent="0.25">
      <c r="A51" s="4"/>
    </row>
    <row r="52" spans="1:1" s="7" customFormat="1" hidden="1" x14ac:dyDescent="0.25">
      <c r="A52" s="4"/>
    </row>
    <row r="53" spans="1:1" s="7" customFormat="1" hidden="1" x14ac:dyDescent="0.25">
      <c r="A53" s="4"/>
    </row>
    <row r="54" spans="1:1" s="7" customFormat="1" hidden="1" x14ac:dyDescent="0.25">
      <c r="A54" s="4"/>
    </row>
    <row r="55" spans="1:1" s="7" customFormat="1" hidden="1" x14ac:dyDescent="0.25">
      <c r="A55" s="4"/>
    </row>
    <row r="56" spans="1:1" s="7" customFormat="1" hidden="1" x14ac:dyDescent="0.25">
      <c r="A56" s="4"/>
    </row>
    <row r="57" spans="1:1" s="7" customFormat="1" hidden="1" x14ac:dyDescent="0.25">
      <c r="A57" s="4"/>
    </row>
    <row r="58" spans="1:1" s="7" customFormat="1" hidden="1" x14ac:dyDescent="0.25">
      <c r="A58" s="4"/>
    </row>
    <row r="59" spans="1:1" s="7" customFormat="1" hidden="1" x14ac:dyDescent="0.25">
      <c r="A59" s="4"/>
    </row>
    <row r="60" spans="1:1" s="7" customFormat="1" hidden="1" x14ac:dyDescent="0.25">
      <c r="A60" s="4"/>
    </row>
    <row r="61" spans="1:1" s="7" customFormat="1" hidden="1" x14ac:dyDescent="0.25">
      <c r="A61" s="4"/>
    </row>
    <row r="62" spans="1:1" s="7" customFormat="1" hidden="1" x14ac:dyDescent="0.25">
      <c r="A62" s="4"/>
    </row>
    <row r="63" spans="1:1" s="7" customFormat="1" hidden="1" x14ac:dyDescent="0.25">
      <c r="A63" s="4"/>
    </row>
    <row r="64" spans="1:1" s="7" customFormat="1" hidden="1" x14ac:dyDescent="0.25">
      <c r="A64" s="4"/>
    </row>
    <row r="65" spans="1:1" s="7" customFormat="1" hidden="1" x14ac:dyDescent="0.25">
      <c r="A65" s="4"/>
    </row>
    <row r="66" spans="1:1" s="7" customFormat="1" hidden="1" x14ac:dyDescent="0.25">
      <c r="A66" s="4"/>
    </row>
    <row r="67" spans="1:1" s="7" customFormat="1" hidden="1" x14ac:dyDescent="0.25">
      <c r="A67" s="4"/>
    </row>
    <row r="68" spans="1:1" s="7" customFormat="1" hidden="1" x14ac:dyDescent="0.25">
      <c r="A68" s="4"/>
    </row>
    <row r="69" spans="1:1" s="7" customFormat="1" hidden="1" x14ac:dyDescent="0.25">
      <c r="A69" s="4"/>
    </row>
    <row r="70" spans="1:1" s="7" customFormat="1" hidden="1" x14ac:dyDescent="0.25">
      <c r="A70" s="4"/>
    </row>
    <row r="71" spans="1:1" s="7" customFormat="1" hidden="1" x14ac:dyDescent="0.25">
      <c r="A71" s="4"/>
    </row>
    <row r="72" spans="1:1" s="7" customFormat="1" hidden="1" x14ac:dyDescent="0.25">
      <c r="A72" s="4"/>
    </row>
    <row r="73" spans="1:1" s="7" customFormat="1" hidden="1" x14ac:dyDescent="0.25">
      <c r="A73" s="4"/>
    </row>
    <row r="74" spans="1:1" s="7" customFormat="1" hidden="1" x14ac:dyDescent="0.25">
      <c r="A74" s="4"/>
    </row>
    <row r="75" spans="1:1" s="7" customFormat="1" hidden="1" x14ac:dyDescent="0.25">
      <c r="A75" s="4"/>
    </row>
    <row r="76" spans="1:1" s="7" customFormat="1" hidden="1" x14ac:dyDescent="0.25">
      <c r="A76" s="4"/>
    </row>
    <row r="77" spans="1:1" s="7" customFormat="1" hidden="1" x14ac:dyDescent="0.25">
      <c r="A77" s="4"/>
    </row>
    <row r="78" spans="1:1" s="7" customFormat="1" hidden="1" x14ac:dyDescent="0.25">
      <c r="A78" s="4"/>
    </row>
    <row r="79" spans="1:1" s="7" customFormat="1" hidden="1" x14ac:dyDescent="0.25">
      <c r="A79" s="4"/>
    </row>
    <row r="80" spans="1:1" s="7" customFormat="1" hidden="1" x14ac:dyDescent="0.25">
      <c r="A80" s="4"/>
    </row>
    <row r="81" spans="1:1" s="7" customFormat="1" hidden="1" x14ac:dyDescent="0.25">
      <c r="A81" s="4"/>
    </row>
    <row r="82" spans="1:1" s="7" customFormat="1" hidden="1" x14ac:dyDescent="0.25">
      <c r="A82" s="4"/>
    </row>
    <row r="83" spans="1:1" s="7" customFormat="1" hidden="1" x14ac:dyDescent="0.25">
      <c r="A83" s="4"/>
    </row>
    <row r="84" spans="1:1" s="7" customFormat="1" hidden="1" x14ac:dyDescent="0.25">
      <c r="A84" s="4"/>
    </row>
    <row r="85" spans="1:1" s="7" customFormat="1" hidden="1" x14ac:dyDescent="0.25">
      <c r="A85" s="4"/>
    </row>
    <row r="86" spans="1:1" s="7" customFormat="1" hidden="1" x14ac:dyDescent="0.25">
      <c r="A86" s="4"/>
    </row>
    <row r="87" spans="1:1" s="7" customFormat="1" hidden="1" x14ac:dyDescent="0.25">
      <c r="A87" s="4"/>
    </row>
    <row r="88" spans="1:1" s="7" customFormat="1" hidden="1" x14ac:dyDescent="0.25">
      <c r="A88" s="4"/>
    </row>
    <row r="89" spans="1:1" s="7" customFormat="1" hidden="1" x14ac:dyDescent="0.25">
      <c r="A89" s="4"/>
    </row>
  </sheetData>
  <sheetProtection sheet="1" objects="1" scenario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Acaris Benetti</cp:lastModifiedBy>
  <dcterms:created xsi:type="dcterms:W3CDTF">2024-12-19T13:13:10Z</dcterms:created>
  <dcterms:modified xsi:type="dcterms:W3CDTF">2026-01-09T02:41:10Z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